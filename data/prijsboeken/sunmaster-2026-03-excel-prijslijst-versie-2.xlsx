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Algemeen\PRODUCT\prijslijst\Prijslijst 2026\"/>
    </mc:Choice>
  </mc:AlternateContent>
  <xr:revisionPtr revIDLastSave="0" documentId="13_ncr:1_{8622FEDB-FE29-4BF8-BA45-EDC8F1E7DBF5}" xr6:coauthVersionLast="47" xr6:coauthVersionMax="47" xr10:uidLastSave="{00000000-0000-0000-0000-000000000000}"/>
  <workbookProtection workbookAlgorithmName="SHA-512" workbookHashValue="S1xN/QjA5tWRIFaVX7IVJSXEprEhdmMwmn8m493lCSyOGkNdNKQHe+AMcxTbl8qa5qPk41AN4eW3DgN50hI4CQ==" workbookSaltValue="dS6UKGjeSfKRGC5gofl6Yw==" workbookSpinCount="100000" lockStructure="1"/>
  <bookViews>
    <workbookView xWindow="-120" yWindow="-120" windowWidth="29040" windowHeight="15720" tabRatio="648" xr2:uid="{00000000-000D-0000-FFFF-FFFF00000000}"/>
  </bookViews>
  <sheets>
    <sheet name="Korting" sheetId="70" r:id="rId1"/>
    <sheet name="70" sheetId="5" r:id="rId2"/>
    <sheet name="85&amp;100 (2)" sheetId="72" state="hidden" r:id="rId3"/>
    <sheet name="70 (2)" sheetId="71" state="hidden" r:id="rId4"/>
    <sheet name="85&amp;100" sheetId="7" r:id="rId5"/>
    <sheet name="Zip 85&amp;100 (2)" sheetId="73" state="hidden" r:id="rId6"/>
    <sheet name="Zip 85&amp;100" sheetId="9" r:id="rId7"/>
    <sheet name="Zip 110 (2)" sheetId="74" state="hidden" r:id="rId8"/>
    <sheet name="Zip 110" sheetId="11" r:id="rId9"/>
    <sheet name="Zip Veranda" sheetId="94" r:id="rId10"/>
    <sheet name="Zip 130 (2)" sheetId="75" state="hidden" r:id="rId11"/>
    <sheet name="Zip 130" sheetId="12" r:id="rId12"/>
    <sheet name="Opties &amp; accessories (2)" sheetId="76" state="hidden" r:id="rId13"/>
    <sheet name="Opties &amp; accessories" sheetId="14" r:id="rId14"/>
    <sheet name="Screendoek (2)" sheetId="77" state="hidden" r:id="rId15"/>
    <sheet name="Screendoek" sheetId="19" r:id="rId16"/>
    <sheet name="SunBasic (2)" sheetId="78" state="hidden" r:id="rId17"/>
    <sheet name="SunBasic" sheetId="23" r:id="rId18"/>
    <sheet name="SunCar (2)" sheetId="79" state="hidden" r:id="rId19"/>
    <sheet name="SunCar" sheetId="25" state="hidden" r:id="rId20"/>
    <sheet name="Suneye (2)" sheetId="80" state="hidden" r:id="rId21"/>
    <sheet name="Suneye" sheetId="27" r:id="rId22"/>
    <sheet name="Suneye XL (2)" sheetId="81" state="hidden" r:id="rId23"/>
    <sheet name="Suneye XL" sheetId="29" r:id="rId24"/>
    <sheet name="SunElite 2" sheetId="96" state="hidden" r:id="rId25"/>
    <sheet name="SunElite" sheetId="95" r:id="rId26"/>
    <sheet name="Optie Knik (2)" sheetId="82" state="hidden" r:id="rId27"/>
    <sheet name="Optie Knik" sheetId="31" r:id="rId28"/>
    <sheet name="Zonweringsdoek (2)" sheetId="83" state="hidden" r:id="rId29"/>
    <sheet name="Zonweringsdoek" sheetId="32" r:id="rId30"/>
    <sheet name="RollBasic (2)" sheetId="84" state="hidden" r:id="rId31"/>
    <sheet name="Rolluik S-42" sheetId="35" r:id="rId32"/>
    <sheet name="Rollbasic XS (2)" sheetId="85" state="hidden" r:id="rId33"/>
    <sheet name="Rolluik S-37" sheetId="36" r:id="rId34"/>
    <sheet name="Opties rolluiken (2)" sheetId="86" state="hidden" r:id="rId35"/>
    <sheet name="Opties rolluiken" sheetId="37" r:id="rId36"/>
    <sheet name="Suncube 150 (2)" sheetId="88" state="hidden" r:id="rId37"/>
    <sheet name="Suncube 150" sheetId="42" r:id="rId38"/>
    <sheet name="Sunproject (2)" sheetId="89" state="hidden" r:id="rId39"/>
    <sheet name="Sunproject 100" sheetId="43" r:id="rId40"/>
    <sheet name="Opties Uitval (2)" sheetId="91" state="hidden" r:id="rId41"/>
    <sheet name="Opties Uitval" sheetId="47" r:id="rId42"/>
    <sheet name="SunControl bron" sheetId="98" state="hidden" r:id="rId43"/>
    <sheet name="SunControl 150" sheetId="97" r:id="rId44"/>
    <sheet name="SunControl 165" sheetId="99" r:id="rId45"/>
    <sheet name="Somfy Brel (2)" sheetId="92" state="hidden" r:id="rId46"/>
    <sheet name="Somfy  Brel" sheetId="69" r:id="rId47"/>
    <sheet name="Prijsmutaties" sheetId="93" state="hidden" r:id="rId48"/>
  </sheets>
  <definedNames>
    <definedName name="_xlnm.Print_Area" localSheetId="1">'70'!$A$1:$L$31</definedName>
    <definedName name="_xlnm.Print_Area" localSheetId="3">'70 (2)'!$A$1:$M$31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9" l="1"/>
  <c r="N10" i="29"/>
  <c r="N9" i="29"/>
  <c r="N15" i="29"/>
  <c r="B11" i="27"/>
  <c r="B10" i="27"/>
  <c r="B7" i="27"/>
  <c r="B8" i="27"/>
  <c r="B9" i="27"/>
  <c r="B12" i="27"/>
  <c r="B13" i="27"/>
  <c r="B6" i="27"/>
  <c r="A9" i="27"/>
  <c r="A10" i="27"/>
  <c r="A11" i="27"/>
  <c r="A12" i="27"/>
  <c r="A13" i="27"/>
  <c r="A8" i="27"/>
  <c r="A7" i="27"/>
  <c r="A6" i="27"/>
  <c r="C6" i="29"/>
  <c r="C7" i="29"/>
  <c r="C8" i="29"/>
  <c r="C9" i="29"/>
  <c r="C10" i="29"/>
  <c r="C11" i="29"/>
  <c r="C12" i="29"/>
  <c r="C13" i="29"/>
  <c r="C14" i="29"/>
  <c r="C15" i="29"/>
  <c r="B7" i="29"/>
  <c r="B8" i="29"/>
  <c r="B9" i="29"/>
  <c r="B10" i="29"/>
  <c r="B11" i="29"/>
  <c r="B12" i="29"/>
  <c r="B13" i="29"/>
  <c r="B14" i="29"/>
  <c r="B15" i="29"/>
  <c r="B6" i="29"/>
  <c r="C6" i="95"/>
  <c r="C7" i="95"/>
  <c r="C8" i="95"/>
  <c r="C9" i="95"/>
  <c r="C10" i="95"/>
  <c r="C11" i="95"/>
  <c r="C12" i="95"/>
  <c r="B7" i="95"/>
  <c r="B8" i="95"/>
  <c r="B9" i="95"/>
  <c r="B10" i="95"/>
  <c r="B11" i="95"/>
  <c r="B12" i="95"/>
  <c r="B6" i="95"/>
  <c r="X9" i="84"/>
  <c r="X8" i="84"/>
  <c r="X7" i="84"/>
  <c r="O3" i="98"/>
  <c r="P3" i="98"/>
  <c r="Q3" i="98"/>
  <c r="R3" i="98"/>
  <c r="S3" i="98"/>
  <c r="P4" i="98"/>
  <c r="Q4" i="98"/>
  <c r="R4" i="98"/>
  <c r="S4" i="98"/>
  <c r="P5" i="98"/>
  <c r="Q5" i="98"/>
  <c r="R5" i="98"/>
  <c r="S5" i="98"/>
  <c r="P6" i="98"/>
  <c r="Q6" i="98"/>
  <c r="R6" i="98"/>
  <c r="S6" i="98"/>
  <c r="P7" i="98"/>
  <c r="Q7" i="98"/>
  <c r="R7" i="98"/>
  <c r="S7" i="98"/>
  <c r="P8" i="98"/>
  <c r="Q8" i="98"/>
  <c r="R8" i="98"/>
  <c r="S8" i="98"/>
  <c r="P9" i="98"/>
  <c r="Q9" i="98"/>
  <c r="R9" i="98"/>
  <c r="S9" i="98"/>
  <c r="O4" i="98"/>
  <c r="O5" i="98"/>
  <c r="O6" i="98"/>
  <c r="O7" i="98"/>
  <c r="O8" i="98"/>
  <c r="O9" i="98"/>
  <c r="AA20" i="99"/>
  <c r="AA19" i="99"/>
  <c r="AA18" i="99"/>
  <c r="AA17" i="99"/>
  <c r="AA16" i="99"/>
  <c r="AA15" i="99"/>
  <c r="P9" i="93"/>
  <c r="C9" i="93"/>
  <c r="D9" i="93"/>
  <c r="E9" i="93"/>
  <c r="F9" i="93"/>
  <c r="G9" i="93"/>
  <c r="H9" i="93"/>
  <c r="I9" i="93"/>
  <c r="E12" i="95" s="1"/>
  <c r="J9" i="93"/>
  <c r="K9" i="93"/>
  <c r="B35" i="43" s="1"/>
  <c r="L9" i="93"/>
  <c r="M9" i="93"/>
  <c r="N9" i="93"/>
  <c r="O9" i="93"/>
  <c r="B9" i="93"/>
  <c r="K27" i="99"/>
  <c r="L7" i="80"/>
  <c r="J19" i="78"/>
  <c r="H20" i="78"/>
  <c r="B39" i="14"/>
  <c r="K22" i="11"/>
  <c r="X4" i="99"/>
  <c r="K26" i="99"/>
  <c r="K25" i="99"/>
  <c r="K24" i="99"/>
  <c r="K23" i="99"/>
  <c r="K22" i="99"/>
  <c r="K21" i="99"/>
  <c r="K20" i="99"/>
  <c r="A15" i="43"/>
  <c r="B11" i="42"/>
  <c r="A20" i="42"/>
  <c r="B20" i="43"/>
  <c r="M2" i="93"/>
  <c r="I4" i="23"/>
  <c r="E11" i="95" l="1"/>
  <c r="E9" i="95"/>
  <c r="B27" i="42"/>
  <c r="A32" i="43"/>
  <c r="G20" i="36"/>
  <c r="B22" i="42"/>
  <c r="AA14" i="99"/>
  <c r="A29" i="42"/>
  <c r="A13" i="42"/>
  <c r="B24" i="43"/>
  <c r="A28" i="42"/>
  <c r="B19" i="42"/>
  <c r="A30" i="43"/>
  <c r="B23" i="43"/>
  <c r="X8" i="99"/>
  <c r="N23" i="36"/>
  <c r="A27" i="42"/>
  <c r="A11" i="42"/>
  <c r="B18" i="42"/>
  <c r="A24" i="43"/>
  <c r="B16" i="43"/>
  <c r="W8" i="99"/>
  <c r="T7" i="99"/>
  <c r="T6" i="99"/>
  <c r="A23" i="42"/>
  <c r="B30" i="42"/>
  <c r="B14" i="42"/>
  <c r="A23" i="43"/>
  <c r="B15" i="43"/>
  <c r="X6" i="99"/>
  <c r="H28" i="36"/>
  <c r="B20" i="42"/>
  <c r="A12" i="42"/>
  <c r="A21" i="42"/>
  <c r="B28" i="42"/>
  <c r="B12" i="42"/>
  <c r="A16" i="43"/>
  <c r="E38" i="43"/>
  <c r="W6" i="99"/>
  <c r="B34" i="43"/>
  <c r="R20" i="35"/>
  <c r="I19" i="35"/>
  <c r="B26" i="42"/>
  <c r="B10" i="42"/>
  <c r="A31" i="42"/>
  <c r="R19" i="35"/>
  <c r="A19" i="42"/>
  <c r="B32" i="43"/>
  <c r="W4" i="99"/>
  <c r="A15" i="42"/>
  <c r="B31" i="43"/>
  <c r="A31" i="43"/>
  <c r="J25" i="35"/>
  <c r="X7" i="99"/>
  <c r="X3" i="99"/>
  <c r="T8" i="99"/>
  <c r="U9" i="99"/>
  <c r="U7" i="99"/>
  <c r="U5" i="99"/>
  <c r="U3" i="99"/>
  <c r="T5" i="99"/>
  <c r="V6" i="99"/>
  <c r="T4" i="99"/>
  <c r="U6" i="99"/>
  <c r="U4" i="99"/>
  <c r="X5" i="99"/>
  <c r="T3" i="99"/>
  <c r="W9" i="99"/>
  <c r="W7" i="99"/>
  <c r="W5" i="99"/>
  <c r="W3" i="99"/>
  <c r="V8" i="99"/>
  <c r="V4" i="99"/>
  <c r="U8" i="99"/>
  <c r="X9" i="99"/>
  <c r="T9" i="99"/>
  <c r="V9" i="99"/>
  <c r="V7" i="99"/>
  <c r="V5" i="99"/>
  <c r="V3" i="99"/>
  <c r="N21" i="36"/>
  <c r="I17" i="35"/>
  <c r="G25" i="36"/>
  <c r="I23" i="35"/>
  <c r="G23" i="36"/>
  <c r="I18" i="35"/>
  <c r="I22" i="35"/>
  <c r="R18" i="35"/>
  <c r="A26" i="42"/>
  <c r="A18" i="42"/>
  <c r="A10" i="42"/>
  <c r="B25" i="42"/>
  <c r="B9" i="42"/>
  <c r="A29" i="43"/>
  <c r="A13" i="43"/>
  <c r="B21" i="43"/>
  <c r="B13" i="43"/>
  <c r="A9" i="42"/>
  <c r="A25" i="42"/>
  <c r="A17" i="42"/>
  <c r="B32" i="42"/>
  <c r="B24" i="42"/>
  <c r="B16" i="42"/>
  <c r="E35" i="42"/>
  <c r="A28" i="43"/>
  <c r="A20" i="43"/>
  <c r="A12" i="43"/>
  <c r="B28" i="43"/>
  <c r="B12" i="43"/>
  <c r="A32" i="42"/>
  <c r="A24" i="42"/>
  <c r="A16" i="42"/>
  <c r="B31" i="42"/>
  <c r="B23" i="42"/>
  <c r="B15" i="42"/>
  <c r="K35" i="42"/>
  <c r="A27" i="43"/>
  <c r="A19" i="43"/>
  <c r="A11" i="43"/>
  <c r="B27" i="43"/>
  <c r="B19" i="43"/>
  <c r="B11" i="43"/>
  <c r="A9" i="43"/>
  <c r="A26" i="43"/>
  <c r="A18" i="43"/>
  <c r="A10" i="43"/>
  <c r="B26" i="43"/>
  <c r="B18" i="43"/>
  <c r="B10" i="43"/>
  <c r="A30" i="42"/>
  <c r="A22" i="42"/>
  <c r="A14" i="42"/>
  <c r="B29" i="42"/>
  <c r="B21" i="42"/>
  <c r="B13" i="42"/>
  <c r="A33" i="43"/>
  <c r="A25" i="43"/>
  <c r="A17" i="43"/>
  <c r="B33" i="43"/>
  <c r="B25" i="43"/>
  <c r="B17" i="43"/>
  <c r="B9" i="43"/>
  <c r="B29" i="43"/>
  <c r="A22" i="43"/>
  <c r="A14" i="43"/>
  <c r="B30" i="43"/>
  <c r="B22" i="43"/>
  <c r="B14" i="43"/>
  <c r="B17" i="42"/>
  <c r="A21" i="43"/>
  <c r="G21" i="36"/>
  <c r="I6" i="23"/>
  <c r="R17" i="35"/>
  <c r="G22" i="36"/>
  <c r="G26" i="36"/>
  <c r="N20" i="36"/>
  <c r="I20" i="35"/>
  <c r="E6" i="95"/>
  <c r="E8" i="95"/>
  <c r="M10" i="95"/>
  <c r="E7" i="95"/>
  <c r="M9" i="95"/>
  <c r="I7" i="95"/>
  <c r="I11" i="95"/>
  <c r="I10" i="95"/>
  <c r="I8" i="95"/>
  <c r="I9" i="95"/>
  <c r="I5" i="23"/>
  <c r="M8" i="95"/>
  <c r="M12" i="95"/>
  <c r="E10" i="95"/>
  <c r="I12" i="95"/>
  <c r="I7" i="23"/>
  <c r="M11" i="95"/>
  <c r="F2" i="93"/>
  <c r="AD10" i="74"/>
  <c r="AE10" i="74"/>
  <c r="AF10" i="74"/>
  <c r="AG10" i="74"/>
  <c r="AH10" i="74"/>
  <c r="AI10" i="74"/>
  <c r="AJ10" i="74"/>
  <c r="AK10" i="74"/>
  <c r="AC10" i="74"/>
  <c r="K13" i="94"/>
  <c r="K20" i="11"/>
  <c r="K17" i="99"/>
  <c r="K16" i="99"/>
  <c r="K15" i="99"/>
  <c r="K14" i="99"/>
  <c r="K17" i="97"/>
  <c r="K16" i="97"/>
  <c r="K16" i="98"/>
  <c r="K15" i="98"/>
  <c r="K14" i="98"/>
  <c r="K13" i="98"/>
  <c r="K15" i="97"/>
  <c r="K14" i="97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4" i="43" s="1"/>
  <c r="A33" i="89"/>
  <c r="A35" i="43" s="1"/>
  <c r="A7" i="89"/>
  <c r="A10" i="88"/>
  <c r="A11" i="88"/>
  <c r="A12" i="88"/>
  <c r="A13" i="88"/>
  <c r="A14" i="88"/>
  <c r="A15" i="88"/>
  <c r="A16" i="88"/>
  <c r="A17" i="88"/>
  <c r="A18" i="88"/>
  <c r="A19" i="88"/>
  <c r="A20" i="88"/>
  <c r="A21" i="88"/>
  <c r="A22" i="88"/>
  <c r="A23" i="88"/>
  <c r="A24" i="88"/>
  <c r="A25" i="88"/>
  <c r="A26" i="88"/>
  <c r="A27" i="88"/>
  <c r="A28" i="88"/>
  <c r="A29" i="88"/>
  <c r="A30" i="88"/>
  <c r="A31" i="88"/>
  <c r="A32" i="88"/>
  <c r="A9" i="88"/>
  <c r="L2" i="93"/>
  <c r="V5" i="96"/>
  <c r="V6" i="96" s="1"/>
  <c r="U5" i="96"/>
  <c r="B12" i="96"/>
  <c r="B11" i="96"/>
  <c r="B10" i="96"/>
  <c r="B9" i="96"/>
  <c r="B8" i="96"/>
  <c r="B7" i="96"/>
  <c r="B6" i="96"/>
  <c r="B7" i="81"/>
  <c r="B8" i="81"/>
  <c r="B9" i="81"/>
  <c r="B10" i="81"/>
  <c r="B11" i="81"/>
  <c r="B12" i="81"/>
  <c r="B13" i="81"/>
  <c r="B14" i="81"/>
  <c r="B15" i="81"/>
  <c r="B6" i="81"/>
  <c r="A7" i="80"/>
  <c r="A8" i="80"/>
  <c r="A9" i="80"/>
  <c r="A10" i="80"/>
  <c r="A11" i="80"/>
  <c r="A12" i="80"/>
  <c r="A13" i="80"/>
  <c r="A6" i="80"/>
  <c r="T7" i="85" l="1"/>
  <c r="G7" i="97"/>
  <c r="I13" i="29"/>
  <c r="E7" i="29"/>
  <c r="I15" i="29"/>
  <c r="E14" i="29"/>
  <c r="I7" i="29"/>
  <c r="N14" i="29"/>
  <c r="I14" i="29"/>
  <c r="E12" i="29"/>
  <c r="E9" i="29"/>
  <c r="I8" i="29"/>
  <c r="E13" i="29"/>
  <c r="E6" i="29"/>
  <c r="N13" i="29"/>
  <c r="I10" i="29"/>
  <c r="E15" i="29"/>
  <c r="I11" i="29"/>
  <c r="E10" i="29"/>
  <c r="N12" i="29"/>
  <c r="I12" i="29"/>
  <c r="E11" i="29"/>
  <c r="E8" i="29"/>
  <c r="I9" i="29"/>
  <c r="C4" i="19"/>
  <c r="C3" i="19"/>
  <c r="D3" i="19"/>
  <c r="D4" i="19"/>
  <c r="D5" i="19"/>
  <c r="D17" i="19"/>
  <c r="C5" i="19"/>
  <c r="Y11" i="96"/>
  <c r="Y10" i="96"/>
  <c r="Y8" i="96"/>
  <c r="Y7" i="96"/>
  <c r="Y9" i="96"/>
  <c r="Y12" i="96"/>
  <c r="C7" i="97"/>
  <c r="G5" i="97"/>
  <c r="D7" i="97"/>
  <c r="G3" i="97"/>
  <c r="E5" i="97"/>
  <c r="C9" i="97"/>
  <c r="F5" i="97"/>
  <c r="E7" i="97"/>
  <c r="C4" i="97"/>
  <c r="F8" i="97"/>
  <c r="D4" i="97"/>
  <c r="G8" i="97"/>
  <c r="E4" i="97"/>
  <c r="C6" i="97"/>
  <c r="F7" i="97"/>
  <c r="D9" i="97"/>
  <c r="C3" i="97"/>
  <c r="F4" i="97"/>
  <c r="D6" i="97"/>
  <c r="E9" i="97"/>
  <c r="D3" i="97"/>
  <c r="G4" i="97"/>
  <c r="E6" i="97"/>
  <c r="C8" i="97"/>
  <c r="F9" i="97"/>
  <c r="E3" i="97"/>
  <c r="C5" i="97"/>
  <c r="F6" i="97"/>
  <c r="D8" i="97"/>
  <c r="G9" i="97"/>
  <c r="F3" i="97"/>
  <c r="D5" i="97"/>
  <c r="G6" i="97"/>
  <c r="E8" i="97"/>
  <c r="K17" i="94"/>
  <c r="K16" i="94"/>
  <c r="K15" i="94"/>
  <c r="K14" i="94"/>
  <c r="L33" i="89"/>
  <c r="L32" i="89"/>
  <c r="L31" i="89"/>
  <c r="L30" i="89"/>
  <c r="L29" i="89"/>
  <c r="L28" i="89"/>
  <c r="L27" i="89"/>
  <c r="L26" i="89"/>
  <c r="L25" i="89"/>
  <c r="L24" i="89"/>
  <c r="L23" i="89"/>
  <c r="L22" i="89"/>
  <c r="L21" i="89"/>
  <c r="L20" i="89"/>
  <c r="L19" i="89"/>
  <c r="L18" i="89"/>
  <c r="L17" i="89"/>
  <c r="L16" i="89"/>
  <c r="L15" i="89"/>
  <c r="L14" i="89"/>
  <c r="L13" i="89"/>
  <c r="L12" i="89"/>
  <c r="L11" i="89"/>
  <c r="L10" i="89"/>
  <c r="L9" i="89"/>
  <c r="L8" i="89"/>
  <c r="L7" i="89"/>
  <c r="J27" i="99" l="1"/>
  <c r="E36" i="14"/>
  <c r="L21" i="37"/>
  <c r="B38" i="14"/>
  <c r="J22" i="11"/>
  <c r="G14" i="69"/>
  <c r="J26" i="99"/>
  <c r="J22" i="99"/>
  <c r="J20" i="99"/>
  <c r="C14" i="69"/>
  <c r="J25" i="99"/>
  <c r="C11" i="69"/>
  <c r="J24" i="99"/>
  <c r="J23" i="99"/>
  <c r="G11" i="69"/>
  <c r="J26" i="11"/>
  <c r="L39" i="7"/>
  <c r="H28" i="5"/>
  <c r="H29" i="5"/>
  <c r="J23" i="11"/>
  <c r="J13" i="94"/>
  <c r="J20" i="11"/>
  <c r="J21" i="11"/>
  <c r="J27" i="11"/>
  <c r="H31" i="5"/>
  <c r="L38" i="7"/>
  <c r="L41" i="7"/>
  <c r="J15" i="94"/>
  <c r="K28" i="9"/>
  <c r="L34" i="7"/>
  <c r="K24" i="9"/>
  <c r="J17" i="94"/>
  <c r="L35" i="7"/>
  <c r="K25" i="9"/>
  <c r="J27" i="97"/>
  <c r="J35" i="99"/>
  <c r="G17" i="69"/>
  <c r="G5" i="69"/>
  <c r="G17" i="47"/>
  <c r="D16" i="47"/>
  <c r="D5" i="47"/>
  <c r="E23" i="37"/>
  <c r="E16" i="37"/>
  <c r="M9" i="37"/>
  <c r="M4" i="37"/>
  <c r="F14" i="31"/>
  <c r="F6" i="31"/>
  <c r="F17" i="95"/>
  <c r="J26" i="97"/>
  <c r="J25" i="97"/>
  <c r="J31" i="99"/>
  <c r="J22" i="97"/>
  <c r="J21" i="97"/>
  <c r="J20" i="97"/>
  <c r="J37" i="99"/>
  <c r="J14" i="99"/>
  <c r="C17" i="69"/>
  <c r="P8" i="69"/>
  <c r="G19" i="47"/>
  <c r="D18" i="47"/>
  <c r="C10" i="47"/>
  <c r="D6" i="47"/>
  <c r="E18" i="37"/>
  <c r="M5" i="37"/>
  <c r="F18" i="31"/>
  <c r="F8" i="31"/>
  <c r="C4" i="31"/>
  <c r="E24" i="27"/>
  <c r="J36" i="99"/>
  <c r="J16" i="99"/>
  <c r="G22" i="69"/>
  <c r="K8" i="69"/>
  <c r="G13" i="47"/>
  <c r="C11" i="47"/>
  <c r="G5" i="47"/>
  <c r="L20" i="37"/>
  <c r="L13" i="37"/>
  <c r="E5" i="37"/>
  <c r="F3" i="31"/>
  <c r="F18" i="95"/>
  <c r="F21" i="29"/>
  <c r="F16" i="27"/>
  <c r="F27" i="14"/>
  <c r="B18" i="14"/>
  <c r="B14" i="14"/>
  <c r="M9" i="14"/>
  <c r="J7" i="14"/>
  <c r="M4" i="14"/>
  <c r="K31" i="12"/>
  <c r="J32" i="99"/>
  <c r="G20" i="69"/>
  <c r="C5" i="69"/>
  <c r="G12" i="47"/>
  <c r="B11" i="47"/>
  <c r="G4" i="47"/>
  <c r="J30" i="99"/>
  <c r="P11" i="69"/>
  <c r="P5" i="69"/>
  <c r="D20" i="47"/>
  <c r="B10" i="47"/>
  <c r="D4" i="47"/>
  <c r="L19" i="37"/>
  <c r="F19" i="31"/>
  <c r="C11" i="31"/>
  <c r="F15" i="95"/>
  <c r="F19" i="29"/>
  <c r="J17" i="97"/>
  <c r="J14" i="98"/>
  <c r="K5" i="69"/>
  <c r="D19" i="47"/>
  <c r="G3" i="47"/>
  <c r="E19" i="37"/>
  <c r="M8" i="37"/>
  <c r="E3" i="37"/>
  <c r="F17" i="31"/>
  <c r="C10" i="31"/>
  <c r="O19" i="29"/>
  <c r="E25" i="27"/>
  <c r="F29" i="23"/>
  <c r="B36" i="14"/>
  <c r="O20" i="14"/>
  <c r="B16" i="14"/>
  <c r="M12" i="14"/>
  <c r="M10" i="14"/>
  <c r="Z8" i="14"/>
  <c r="M6" i="14"/>
  <c r="B3" i="14"/>
  <c r="C9" i="31"/>
  <c r="O18" i="29"/>
  <c r="F20" i="27"/>
  <c r="F28" i="23"/>
  <c r="F21" i="14"/>
  <c r="J10" i="14"/>
  <c r="J6" i="14"/>
  <c r="D17" i="47"/>
  <c r="G8" i="47"/>
  <c r="D3" i="47"/>
  <c r="E17" i="37"/>
  <c r="F13" i="31"/>
  <c r="B34" i="14"/>
  <c r="M15" i="14"/>
  <c r="J12" i="14"/>
  <c r="C8" i="14"/>
  <c r="F3" i="14"/>
  <c r="K11" i="69"/>
  <c r="D15" i="47"/>
  <c r="G7" i="47"/>
  <c r="C30" i="37"/>
  <c r="L15" i="37"/>
  <c r="M7" i="37"/>
  <c r="F12" i="31"/>
  <c r="C6" i="31"/>
  <c r="J17" i="99"/>
  <c r="J16" i="97"/>
  <c r="G8" i="69"/>
  <c r="G18" i="47"/>
  <c r="C12" i="47"/>
  <c r="D7" i="47"/>
  <c r="L14" i="37"/>
  <c r="M6" i="37"/>
  <c r="F5" i="31"/>
  <c r="C5" i="31"/>
  <c r="J14" i="97"/>
  <c r="C20" i="69"/>
  <c r="C8" i="69"/>
  <c r="G14" i="47"/>
  <c r="B12" i="47"/>
  <c r="G6" i="47"/>
  <c r="E14" i="37"/>
  <c r="E6" i="37"/>
  <c r="F4" i="31"/>
  <c r="C3" i="31"/>
  <c r="F18" i="29"/>
  <c r="F17" i="27"/>
  <c r="F29" i="14"/>
  <c r="C18" i="14"/>
  <c r="J14" i="14"/>
  <c r="Z9" i="14"/>
  <c r="M7" i="14"/>
  <c r="K32" i="12"/>
  <c r="B8" i="14"/>
  <c r="O19" i="14"/>
  <c r="B12" i="14"/>
  <c r="Z7" i="14"/>
  <c r="K33" i="12"/>
  <c r="E4" i="37"/>
  <c r="F17" i="14"/>
  <c r="F11" i="14"/>
  <c r="F7" i="14"/>
  <c r="K30" i="12"/>
  <c r="C16" i="14"/>
  <c r="Z10" i="14"/>
  <c r="Z6" i="14"/>
  <c r="F20" i="29"/>
  <c r="J15" i="14"/>
  <c r="F19" i="27"/>
  <c r="B32" i="14"/>
  <c r="C10" i="14"/>
  <c r="Z5" i="14"/>
  <c r="F18" i="27"/>
  <c r="F31" i="14"/>
  <c r="M14" i="14"/>
  <c r="B10" i="14"/>
  <c r="F5" i="14"/>
  <c r="F7" i="31"/>
  <c r="E23" i="27"/>
  <c r="B26" i="14"/>
  <c r="M13" i="14"/>
  <c r="J9" i="14"/>
  <c r="J4" i="14"/>
  <c r="F27" i="23"/>
  <c r="C12" i="14"/>
  <c r="E20" i="37"/>
  <c r="F16" i="95"/>
  <c r="E22" i="27"/>
  <c r="B24" i="14"/>
  <c r="J13" i="14"/>
  <c r="F9" i="14"/>
  <c r="F4" i="14"/>
  <c r="E12" i="37"/>
  <c r="F19" i="14"/>
  <c r="K34" i="12"/>
  <c r="L36" i="7"/>
  <c r="K26" i="9"/>
  <c r="J24" i="11"/>
  <c r="H27" i="5"/>
  <c r="L37" i="7"/>
  <c r="K27" i="9"/>
  <c r="J25" i="11"/>
  <c r="H30" i="5"/>
  <c r="L40" i="7"/>
  <c r="J14" i="94"/>
  <c r="J16" i="94"/>
  <c r="D2" i="93"/>
  <c r="H23" i="78"/>
  <c r="Z10" i="76"/>
  <c r="AA10" i="14" s="1"/>
  <c r="C19" i="14"/>
  <c r="C17" i="14"/>
  <c r="C15" i="14"/>
  <c r="C13" i="14"/>
  <c r="C11" i="14"/>
  <c r="C9" i="14"/>
  <c r="K27" i="11"/>
  <c r="H24" i="78" l="1"/>
  <c r="C23" i="78"/>
  <c r="C22" i="78"/>
  <c r="C21" i="78"/>
  <c r="C20" i="78"/>
  <c r="H21" i="78"/>
  <c r="C19" i="78"/>
  <c r="H22" i="78"/>
  <c r="C24" i="78"/>
  <c r="M34" i="7"/>
  <c r="E2" i="93"/>
  <c r="I12" i="35"/>
  <c r="K15" i="14"/>
  <c r="L15" i="14"/>
  <c r="F9" i="32" l="1"/>
  <c r="E9" i="32"/>
  <c r="F13" i="23"/>
  <c r="I20" i="23"/>
  <c r="D9" i="99"/>
  <c r="F7" i="99"/>
  <c r="C6" i="99"/>
  <c r="E4" i="99"/>
  <c r="G8" i="99"/>
  <c r="F9" i="99"/>
  <c r="C8" i="99"/>
  <c r="E6" i="99"/>
  <c r="G4" i="99"/>
  <c r="D3" i="99"/>
  <c r="E8" i="99"/>
  <c r="D6" i="99"/>
  <c r="C4" i="99"/>
  <c r="H9" i="94"/>
  <c r="D8" i="99"/>
  <c r="G5" i="99"/>
  <c r="G3" i="99"/>
  <c r="G7" i="99"/>
  <c r="F5" i="99"/>
  <c r="F3" i="99"/>
  <c r="E7" i="99"/>
  <c r="E5" i="99"/>
  <c r="E3" i="99"/>
  <c r="K9" i="94"/>
  <c r="C10" i="94"/>
  <c r="D9" i="94"/>
  <c r="C9" i="94"/>
  <c r="G9" i="99"/>
  <c r="D7" i="99"/>
  <c r="D5" i="99"/>
  <c r="C3" i="99"/>
  <c r="D10" i="94"/>
  <c r="E9" i="99"/>
  <c r="C7" i="99"/>
  <c r="C5" i="99"/>
  <c r="C9" i="99"/>
  <c r="G6" i="99"/>
  <c r="F4" i="99"/>
  <c r="F8" i="99"/>
  <c r="F6" i="99"/>
  <c r="D4" i="99"/>
  <c r="I19" i="23"/>
  <c r="G9" i="94"/>
  <c r="G10" i="94"/>
  <c r="H10" i="94"/>
  <c r="E10" i="94"/>
  <c r="F10" i="94"/>
  <c r="I10" i="94"/>
  <c r="J10" i="94"/>
  <c r="E9" i="94"/>
  <c r="F9" i="94"/>
  <c r="I18" i="23"/>
  <c r="I9" i="94"/>
  <c r="J9" i="94"/>
  <c r="I4" i="94"/>
  <c r="K10" i="94"/>
  <c r="D3" i="94"/>
  <c r="J3" i="94"/>
  <c r="J4" i="94"/>
  <c r="J5" i="94"/>
  <c r="K3" i="94"/>
  <c r="D5" i="94"/>
  <c r="C4" i="94"/>
  <c r="E3" i="94"/>
  <c r="E4" i="94"/>
  <c r="E5" i="94"/>
  <c r="C5" i="94"/>
  <c r="F3" i="94"/>
  <c r="F4" i="94"/>
  <c r="F5" i="94"/>
  <c r="C3" i="94"/>
  <c r="I3" i="94"/>
  <c r="I5" i="94"/>
  <c r="K4" i="94"/>
  <c r="G3" i="94"/>
  <c r="G4" i="94"/>
  <c r="G5" i="94"/>
  <c r="H3" i="94"/>
  <c r="H4" i="94"/>
  <c r="H5" i="94"/>
  <c r="K5" i="94"/>
  <c r="D4" i="94"/>
  <c r="F35" i="43"/>
  <c r="E34" i="43"/>
  <c r="O30" i="43"/>
  <c r="K29" i="43"/>
  <c r="J28" i="43"/>
  <c r="F27" i="43"/>
  <c r="E26" i="43"/>
  <c r="O22" i="43"/>
  <c r="K21" i="43"/>
  <c r="J20" i="43"/>
  <c r="F19" i="43"/>
  <c r="E18" i="43"/>
  <c r="O14" i="43"/>
  <c r="K13" i="43"/>
  <c r="J12" i="43"/>
  <c r="F11" i="43"/>
  <c r="E10" i="43"/>
  <c r="N32" i="42"/>
  <c r="N31" i="42"/>
  <c r="M30" i="42"/>
  <c r="J29" i="42"/>
  <c r="J28" i="42"/>
  <c r="J27" i="42"/>
  <c r="J26" i="42"/>
  <c r="J25" i="42"/>
  <c r="J24" i="42"/>
  <c r="J23" i="42"/>
  <c r="I22" i="42"/>
  <c r="I21" i="42"/>
  <c r="I20" i="42"/>
  <c r="I19" i="42"/>
  <c r="I18" i="42"/>
  <c r="I17" i="42"/>
  <c r="I16" i="42"/>
  <c r="I15" i="42"/>
  <c r="I14" i="42"/>
  <c r="I13" i="42"/>
  <c r="I12" i="42"/>
  <c r="I11" i="42"/>
  <c r="I10" i="42"/>
  <c r="I9" i="42"/>
  <c r="K35" i="43"/>
  <c r="J34" i="43"/>
  <c r="F33" i="43"/>
  <c r="E32" i="43"/>
  <c r="O28" i="43"/>
  <c r="K27" i="43"/>
  <c r="J26" i="43"/>
  <c r="F25" i="43"/>
  <c r="E24" i="43"/>
  <c r="O20" i="43"/>
  <c r="K19" i="43"/>
  <c r="J18" i="43"/>
  <c r="F17" i="43"/>
  <c r="E16" i="43"/>
  <c r="O12" i="43"/>
  <c r="K11" i="43"/>
  <c r="J10" i="43"/>
  <c r="F9" i="43"/>
  <c r="N29" i="42"/>
  <c r="N28" i="42"/>
  <c r="N27" i="42"/>
  <c r="N26" i="42"/>
  <c r="N25" i="42"/>
  <c r="N24" i="42"/>
  <c r="N23" i="42"/>
  <c r="M22" i="42"/>
  <c r="M21" i="42"/>
  <c r="M20" i="42"/>
  <c r="M19" i="42"/>
  <c r="M18" i="42"/>
  <c r="M17" i="42"/>
  <c r="M16" i="42"/>
  <c r="M15" i="42"/>
  <c r="M14" i="42"/>
  <c r="M13" i="42"/>
  <c r="M12" i="42"/>
  <c r="M11" i="42"/>
  <c r="M10" i="42"/>
  <c r="M9" i="42"/>
  <c r="K33" i="43"/>
  <c r="J30" i="43"/>
  <c r="J27" i="43"/>
  <c r="J24" i="43"/>
  <c r="F21" i="43"/>
  <c r="F18" i="43"/>
  <c r="O16" i="43"/>
  <c r="F15" i="43"/>
  <c r="O13" i="43"/>
  <c r="E12" i="43"/>
  <c r="O10" i="43"/>
  <c r="E9" i="43"/>
  <c r="J32" i="42"/>
  <c r="F31" i="42"/>
  <c r="M29" i="42"/>
  <c r="F28" i="42"/>
  <c r="M25" i="42"/>
  <c r="F24" i="42"/>
  <c r="J21" i="42"/>
  <c r="E20" i="42"/>
  <c r="J17" i="42"/>
  <c r="E16" i="42"/>
  <c r="J13" i="42"/>
  <c r="E12" i="42"/>
  <c r="J9" i="42"/>
  <c r="J33" i="43"/>
  <c r="O31" i="43"/>
  <c r="F30" i="43"/>
  <c r="E27" i="43"/>
  <c r="O25" i="43"/>
  <c r="F24" i="43"/>
  <c r="K22" i="43"/>
  <c r="E21" i="43"/>
  <c r="O19" i="43"/>
  <c r="K16" i="43"/>
  <c r="E15" i="43"/>
  <c r="J13" i="43"/>
  <c r="K10" i="43"/>
  <c r="O34" i="43"/>
  <c r="E33" i="43"/>
  <c r="K31" i="43"/>
  <c r="E30" i="43"/>
  <c r="K28" i="43"/>
  <c r="K25" i="43"/>
  <c r="J22" i="43"/>
  <c r="J19" i="43"/>
  <c r="J16" i="43"/>
  <c r="F13" i="43"/>
  <c r="F10" i="43"/>
  <c r="F32" i="42"/>
  <c r="N30" i="42"/>
  <c r="F29" i="42"/>
  <c r="M26" i="42"/>
  <c r="F25" i="42"/>
  <c r="J22" i="42"/>
  <c r="E21" i="42"/>
  <c r="J18" i="42"/>
  <c r="E17" i="42"/>
  <c r="J14" i="42"/>
  <c r="E13" i="42"/>
  <c r="J10" i="42"/>
  <c r="E9" i="42"/>
  <c r="K34" i="43"/>
  <c r="J31" i="43"/>
  <c r="F28" i="43"/>
  <c r="J25" i="43"/>
  <c r="O23" i="43"/>
  <c r="F22" i="43"/>
  <c r="E19" i="43"/>
  <c r="O17" i="43"/>
  <c r="F16" i="43"/>
  <c r="K14" i="43"/>
  <c r="E13" i="43"/>
  <c r="O11" i="43"/>
  <c r="E32" i="42"/>
  <c r="J30" i="42"/>
  <c r="E29" i="42"/>
  <c r="I26" i="42"/>
  <c r="E25" i="42"/>
  <c r="F22" i="42"/>
  <c r="N19" i="42"/>
  <c r="F18" i="42"/>
  <c r="N15" i="42"/>
  <c r="F14" i="42"/>
  <c r="N11" i="42"/>
  <c r="F10" i="42"/>
  <c r="F34" i="43"/>
  <c r="O32" i="43"/>
  <c r="F31" i="43"/>
  <c r="O29" i="43"/>
  <c r="E28" i="43"/>
  <c r="O26" i="43"/>
  <c r="E25" i="43"/>
  <c r="K23" i="43"/>
  <c r="E22" i="43"/>
  <c r="K20" i="43"/>
  <c r="K17" i="43"/>
  <c r="J14" i="43"/>
  <c r="J11" i="43"/>
  <c r="I30" i="42"/>
  <c r="M27" i="42"/>
  <c r="F26" i="42"/>
  <c r="M23" i="42"/>
  <c r="E22" i="42"/>
  <c r="J19" i="42"/>
  <c r="E18" i="42"/>
  <c r="J15" i="42"/>
  <c r="E14" i="42"/>
  <c r="J11" i="42"/>
  <c r="E10" i="42"/>
  <c r="O35" i="43"/>
  <c r="K32" i="43"/>
  <c r="E31" i="43"/>
  <c r="J29" i="43"/>
  <c r="K26" i="43"/>
  <c r="J23" i="43"/>
  <c r="F20" i="43"/>
  <c r="J17" i="43"/>
  <c r="O15" i="43"/>
  <c r="F14" i="43"/>
  <c r="E11" i="43"/>
  <c r="O9" i="43"/>
  <c r="M31" i="42"/>
  <c r="F30" i="42"/>
  <c r="I27" i="42"/>
  <c r="E26" i="42"/>
  <c r="I23" i="42"/>
  <c r="N20" i="42"/>
  <c r="F19" i="42"/>
  <c r="N16" i="42"/>
  <c r="F15" i="42"/>
  <c r="N12" i="42"/>
  <c r="F11" i="42"/>
  <c r="J35" i="43"/>
  <c r="J32" i="43"/>
  <c r="F29" i="43"/>
  <c r="F26" i="43"/>
  <c r="O24" i="43"/>
  <c r="F23" i="43"/>
  <c r="O21" i="43"/>
  <c r="E20" i="43"/>
  <c r="O18" i="43"/>
  <c r="E17" i="43"/>
  <c r="K15" i="43"/>
  <c r="E14" i="43"/>
  <c r="K12" i="43"/>
  <c r="K9" i="43"/>
  <c r="J31" i="42"/>
  <c r="E30" i="42"/>
  <c r="M28" i="42"/>
  <c r="F27" i="42"/>
  <c r="M24" i="42"/>
  <c r="F23" i="42"/>
  <c r="J20" i="42"/>
  <c r="E19" i="42"/>
  <c r="J16" i="42"/>
  <c r="E15" i="42"/>
  <c r="J12" i="42"/>
  <c r="E11" i="42"/>
  <c r="E35" i="43"/>
  <c r="O33" i="43"/>
  <c r="F32" i="43"/>
  <c r="K30" i="43"/>
  <c r="E29" i="43"/>
  <c r="O27" i="43"/>
  <c r="K24" i="43"/>
  <c r="E23" i="43"/>
  <c r="J21" i="43"/>
  <c r="K18" i="43"/>
  <c r="J15" i="43"/>
  <c r="F12" i="43"/>
  <c r="J9" i="43"/>
  <c r="M32" i="42"/>
  <c r="I31" i="42"/>
  <c r="I28" i="42"/>
  <c r="E27" i="42"/>
  <c r="I24" i="42"/>
  <c r="E23" i="42"/>
  <c r="N21" i="42"/>
  <c r="F20" i="42"/>
  <c r="N17" i="42"/>
  <c r="F16" i="42"/>
  <c r="N13" i="42"/>
  <c r="F12" i="42"/>
  <c r="N9" i="42"/>
  <c r="I32" i="42"/>
  <c r="E31" i="42"/>
  <c r="I29" i="42"/>
  <c r="E28" i="42"/>
  <c r="I25" i="42"/>
  <c r="N14" i="42"/>
  <c r="E24" i="42"/>
  <c r="F13" i="42"/>
  <c r="N22" i="42"/>
  <c r="F21" i="42"/>
  <c r="N10" i="42"/>
  <c r="F9" i="42"/>
  <c r="N18" i="42"/>
  <c r="F17" i="42"/>
  <c r="H10" i="27"/>
  <c r="D11" i="27"/>
  <c r="F20" i="23"/>
  <c r="F11" i="23"/>
  <c r="B8" i="23"/>
  <c r="D6" i="27"/>
  <c r="D7" i="27"/>
  <c r="B10" i="23"/>
  <c r="F24" i="23"/>
  <c r="H11" i="27"/>
  <c r="D12" i="27"/>
  <c r="B24" i="23"/>
  <c r="F10" i="23"/>
  <c r="B22" i="23"/>
  <c r="B9" i="23"/>
  <c r="F21" i="23"/>
  <c r="D10" i="27"/>
  <c r="H12" i="27"/>
  <c r="D13" i="27"/>
  <c r="B23" i="23"/>
  <c r="F9" i="23"/>
  <c r="H7" i="27"/>
  <c r="B21" i="23"/>
  <c r="H9" i="27"/>
  <c r="B13" i="23"/>
  <c r="D8" i="27"/>
  <c r="F22" i="23"/>
  <c r="B20" i="23"/>
  <c r="B11" i="23"/>
  <c r="H8" i="27"/>
  <c r="D9" i="27"/>
  <c r="F23" i="23"/>
  <c r="B19" i="23"/>
  <c r="B12" i="23"/>
  <c r="F12" i="23"/>
  <c r="V6" i="11"/>
  <c r="V8" i="11"/>
  <c r="V16" i="11"/>
  <c r="V3" i="11"/>
  <c r="W8" i="11"/>
  <c r="W16" i="11"/>
  <c r="W3" i="11"/>
  <c r="V9" i="11"/>
  <c r="V17" i="11"/>
  <c r="V4" i="11"/>
  <c r="W9" i="11"/>
  <c r="W10" i="11"/>
  <c r="W4" i="11"/>
  <c r="V11" i="11"/>
  <c r="V10" i="11"/>
  <c r="V5" i="11"/>
  <c r="W11" i="11"/>
  <c r="V7" i="11"/>
  <c r="W5" i="11"/>
  <c r="V12" i="11"/>
  <c r="W6" i="11"/>
  <c r="W7" i="11"/>
  <c r="W12" i="11"/>
  <c r="W17" i="11"/>
  <c r="E6" i="32"/>
  <c r="E7" i="32"/>
  <c r="F4" i="32"/>
  <c r="F5" i="32"/>
  <c r="F6" i="32"/>
  <c r="F7" i="32"/>
  <c r="F8" i="32"/>
  <c r="E5" i="32"/>
  <c r="E12" i="32"/>
  <c r="F13" i="32"/>
  <c r="F12" i="32"/>
  <c r="E4" i="32"/>
  <c r="D15" i="19"/>
  <c r="F3" i="32"/>
  <c r="D20" i="19"/>
  <c r="D19" i="19"/>
  <c r="E13" i="32"/>
  <c r="D16" i="19"/>
  <c r="F15" i="36"/>
  <c r="C14" i="36"/>
  <c r="H12" i="36"/>
  <c r="G11" i="36"/>
  <c r="G10" i="36"/>
  <c r="I9" i="36"/>
  <c r="L8" i="36"/>
  <c r="D8" i="36"/>
  <c r="G7" i="36"/>
  <c r="J6" i="36"/>
  <c r="M5" i="36"/>
  <c r="E5" i="36"/>
  <c r="H4" i="36"/>
  <c r="K3" i="36"/>
  <c r="C3" i="36"/>
  <c r="E15" i="36"/>
  <c r="H13" i="36"/>
  <c r="G12" i="36"/>
  <c r="F11" i="36"/>
  <c r="F10" i="36"/>
  <c r="H9" i="36"/>
  <c r="K8" i="36"/>
  <c r="C8" i="36"/>
  <c r="F7" i="36"/>
  <c r="I6" i="36"/>
  <c r="L5" i="36"/>
  <c r="D5" i="36"/>
  <c r="G4" i="36"/>
  <c r="J3" i="36"/>
  <c r="D15" i="36"/>
  <c r="G13" i="36"/>
  <c r="F12" i="36"/>
  <c r="E11" i="36"/>
  <c r="E10" i="36"/>
  <c r="G9" i="36"/>
  <c r="J8" i="36"/>
  <c r="M7" i="36"/>
  <c r="E7" i="36"/>
  <c r="H6" i="36"/>
  <c r="K5" i="36"/>
  <c r="C5" i="36"/>
  <c r="F4" i="36"/>
  <c r="I3" i="36"/>
  <c r="F16" i="36"/>
  <c r="C15" i="36"/>
  <c r="F13" i="36"/>
  <c r="E12" i="36"/>
  <c r="D11" i="36"/>
  <c r="D10" i="36"/>
  <c r="F9" i="36"/>
  <c r="I8" i="36"/>
  <c r="L7" i="36"/>
  <c r="D7" i="36"/>
  <c r="G6" i="36"/>
  <c r="J5" i="36"/>
  <c r="M4" i="36"/>
  <c r="E4" i="36"/>
  <c r="H3" i="36"/>
  <c r="E16" i="36"/>
  <c r="G14" i="36"/>
  <c r="E13" i="36"/>
  <c r="D12" i="36"/>
  <c r="C11" i="36"/>
  <c r="C10" i="36"/>
  <c r="E9" i="36"/>
  <c r="H8" i="36"/>
  <c r="K7" i="36"/>
  <c r="C7" i="36"/>
  <c r="F6" i="36"/>
  <c r="I5" i="36"/>
  <c r="L4" i="36"/>
  <c r="D4" i="36"/>
  <c r="C16" i="36"/>
  <c r="C12" i="36"/>
  <c r="J9" i="36"/>
  <c r="I7" i="36"/>
  <c r="H5" i="36"/>
  <c r="L3" i="36"/>
  <c r="G15" i="36"/>
  <c r="I11" i="36"/>
  <c r="D9" i="36"/>
  <c r="H7" i="36"/>
  <c r="G5" i="36"/>
  <c r="G3" i="36"/>
  <c r="F14" i="36"/>
  <c r="H11" i="36"/>
  <c r="C9" i="36"/>
  <c r="M6" i="36"/>
  <c r="F5" i="36"/>
  <c r="F3" i="36"/>
  <c r="E14" i="36"/>
  <c r="J10" i="36"/>
  <c r="M8" i="36"/>
  <c r="L6" i="36"/>
  <c r="K4" i="36"/>
  <c r="E3" i="36"/>
  <c r="N22" i="36"/>
  <c r="D14" i="36"/>
  <c r="I10" i="36"/>
  <c r="G8" i="36"/>
  <c r="K6" i="36"/>
  <c r="J4" i="36"/>
  <c r="D3" i="36"/>
  <c r="D13" i="36"/>
  <c r="H10" i="36"/>
  <c r="F8" i="36"/>
  <c r="E6" i="36"/>
  <c r="I4" i="36"/>
  <c r="C13" i="36"/>
  <c r="L9" i="36"/>
  <c r="E8" i="36"/>
  <c r="D6" i="36"/>
  <c r="C4" i="36"/>
  <c r="D16" i="36"/>
  <c r="I12" i="36"/>
  <c r="K9" i="36"/>
  <c r="J7" i="36"/>
  <c r="C6" i="36"/>
  <c r="M3" i="36"/>
  <c r="M11" i="35"/>
  <c r="E11" i="35"/>
  <c r="J10" i="35"/>
  <c r="I9" i="35"/>
  <c r="Q8" i="35"/>
  <c r="I8" i="35"/>
  <c r="Q7" i="35"/>
  <c r="I7" i="35"/>
  <c r="Q6" i="35"/>
  <c r="I6" i="35"/>
  <c r="Q5" i="35"/>
  <c r="I5" i="35"/>
  <c r="Q4" i="35"/>
  <c r="I4" i="35"/>
  <c r="Q3" i="35"/>
  <c r="I3" i="35"/>
  <c r="G4" i="35"/>
  <c r="J11" i="35"/>
  <c r="G10" i="35"/>
  <c r="F9" i="35"/>
  <c r="F8" i="35"/>
  <c r="F7" i="35"/>
  <c r="F6" i="35"/>
  <c r="F5" i="35"/>
  <c r="F4" i="35"/>
  <c r="F3" i="35"/>
  <c r="I11" i="35"/>
  <c r="F10" i="35"/>
  <c r="E9" i="35"/>
  <c r="E8" i="35"/>
  <c r="E7" i="35"/>
  <c r="E6" i="35"/>
  <c r="E5" i="35"/>
  <c r="E4" i="35"/>
  <c r="E3" i="35"/>
  <c r="H11" i="35"/>
  <c r="E10" i="35"/>
  <c r="L8" i="35"/>
  <c r="L7" i="35"/>
  <c r="L6" i="35"/>
  <c r="L5" i="35"/>
  <c r="L4" i="35"/>
  <c r="L3" i="35"/>
  <c r="C12" i="35"/>
  <c r="L10" i="35"/>
  <c r="K9" i="35"/>
  <c r="K8" i="35"/>
  <c r="K7" i="35"/>
  <c r="K6" i="35"/>
  <c r="K5" i="35"/>
  <c r="K4" i="35"/>
  <c r="H12" i="35"/>
  <c r="L11" i="35"/>
  <c r="D11" i="35"/>
  <c r="I10" i="35"/>
  <c r="P9" i="35"/>
  <c r="H9" i="35"/>
  <c r="P8" i="35"/>
  <c r="H8" i="35"/>
  <c r="P7" i="35"/>
  <c r="H7" i="35"/>
  <c r="P6" i="35"/>
  <c r="H6" i="35"/>
  <c r="P5" i="35"/>
  <c r="H5" i="35"/>
  <c r="P4" i="35"/>
  <c r="H4" i="35"/>
  <c r="P3" i="35"/>
  <c r="H3" i="35"/>
  <c r="G12" i="35"/>
  <c r="K11" i="35"/>
  <c r="C11" i="35"/>
  <c r="H10" i="35"/>
  <c r="O9" i="35"/>
  <c r="G9" i="35"/>
  <c r="O8" i="35"/>
  <c r="G8" i="35"/>
  <c r="O7" i="35"/>
  <c r="G7" i="35"/>
  <c r="O6" i="35"/>
  <c r="G6" i="35"/>
  <c r="O5" i="35"/>
  <c r="G5" i="35"/>
  <c r="O4" i="35"/>
  <c r="O3" i="35"/>
  <c r="G3" i="35"/>
  <c r="F12" i="35"/>
  <c r="O10" i="35"/>
  <c r="N9" i="35"/>
  <c r="N8" i="35"/>
  <c r="N7" i="35"/>
  <c r="N6" i="35"/>
  <c r="N5" i="35"/>
  <c r="N4" i="35"/>
  <c r="N3" i="35"/>
  <c r="E12" i="35"/>
  <c r="N10" i="35"/>
  <c r="M9" i="35"/>
  <c r="M8" i="35"/>
  <c r="M7" i="35"/>
  <c r="M6" i="35"/>
  <c r="M5" i="35"/>
  <c r="M4" i="35"/>
  <c r="M3" i="35"/>
  <c r="L12" i="35"/>
  <c r="D12" i="35"/>
  <c r="M10" i="35"/>
  <c r="L9" i="35"/>
  <c r="D9" i="35"/>
  <c r="D8" i="35"/>
  <c r="D7" i="35"/>
  <c r="D6" i="35"/>
  <c r="D5" i="35"/>
  <c r="D4" i="35"/>
  <c r="D3" i="35"/>
  <c r="K12" i="35"/>
  <c r="G11" i="35"/>
  <c r="D10" i="35"/>
  <c r="C9" i="35"/>
  <c r="C8" i="35"/>
  <c r="C7" i="35"/>
  <c r="C6" i="35"/>
  <c r="F11" i="35"/>
  <c r="R6" i="35"/>
  <c r="R3" i="35"/>
  <c r="K10" i="35"/>
  <c r="J6" i="35"/>
  <c r="K3" i="35"/>
  <c r="C10" i="35"/>
  <c r="R5" i="35"/>
  <c r="J3" i="35"/>
  <c r="J9" i="35"/>
  <c r="J5" i="35"/>
  <c r="C3" i="35"/>
  <c r="R8" i="35"/>
  <c r="C5" i="35"/>
  <c r="J8" i="35"/>
  <c r="R4" i="35"/>
  <c r="J12" i="35"/>
  <c r="R7" i="35"/>
  <c r="J4" i="35"/>
  <c r="J7" i="35"/>
  <c r="C4" i="35"/>
  <c r="C3" i="5"/>
  <c r="D8" i="5"/>
  <c r="E17" i="5"/>
  <c r="F4" i="7"/>
  <c r="R7" i="7"/>
  <c r="K15" i="7"/>
  <c r="N18" i="7"/>
  <c r="N3" i="9"/>
  <c r="F4" i="5"/>
  <c r="I9" i="5"/>
  <c r="D16" i="5"/>
  <c r="E23" i="5"/>
  <c r="S4" i="7"/>
  <c r="S7" i="7"/>
  <c r="G12" i="7"/>
  <c r="R18" i="7"/>
  <c r="M5" i="9"/>
  <c r="J5" i="5"/>
  <c r="C10" i="5"/>
  <c r="C15" i="5"/>
  <c r="C22" i="5"/>
  <c r="N3" i="7"/>
  <c r="H7" i="7"/>
  <c r="F3" i="5"/>
  <c r="I4" i="5"/>
  <c r="D6" i="5"/>
  <c r="G7" i="5"/>
  <c r="J8" i="5"/>
  <c r="E10" i="5"/>
  <c r="J13" i="5"/>
  <c r="E15" i="5"/>
  <c r="H16" i="5"/>
  <c r="C18" i="5"/>
  <c r="E22" i="5"/>
  <c r="H23" i="5"/>
  <c r="F3" i="7"/>
  <c r="Q3" i="7"/>
  <c r="L4" i="7"/>
  <c r="F5" i="7"/>
  <c r="Q5" i="7"/>
  <c r="L6" i="7"/>
  <c r="J7" i="7"/>
  <c r="I8" i="7"/>
  <c r="G9" i="7"/>
  <c r="H10" i="7"/>
  <c r="J11" i="7"/>
  <c r="M12" i="7"/>
  <c r="R15" i="7"/>
  <c r="P16" i="7"/>
  <c r="S17" i="7"/>
  <c r="K19" i="7"/>
  <c r="F21" i="7"/>
  <c r="G23" i="7"/>
  <c r="M28" i="7"/>
  <c r="K4" i="9"/>
  <c r="F6" i="9"/>
  <c r="Q7" i="9"/>
  <c r="E10" i="9"/>
  <c r="K13" i="9"/>
  <c r="L20" i="9"/>
  <c r="H6" i="11"/>
  <c r="K4" i="12"/>
  <c r="F5" i="5"/>
  <c r="J15" i="5"/>
  <c r="P4" i="7"/>
  <c r="P8" i="7"/>
  <c r="I16" i="7"/>
  <c r="I20" i="7"/>
  <c r="P11" i="9"/>
  <c r="H5" i="5"/>
  <c r="F8" i="5"/>
  <c r="G17" i="5"/>
  <c r="M3" i="7"/>
  <c r="N5" i="7"/>
  <c r="Q8" i="7"/>
  <c r="L15" i="7"/>
  <c r="M20" i="7"/>
  <c r="O29" i="7"/>
  <c r="D3" i="5"/>
  <c r="D7" i="5"/>
  <c r="H13" i="5"/>
  <c r="H17" i="5"/>
  <c r="D3" i="7"/>
  <c r="J6" i="7"/>
  <c r="H3" i="5"/>
  <c r="J4" i="5"/>
  <c r="E6" i="5"/>
  <c r="H7" i="5"/>
  <c r="C9" i="5"/>
  <c r="G10" i="5"/>
  <c r="C14" i="5"/>
  <c r="F15" i="5"/>
  <c r="I16" i="5"/>
  <c r="D18" i="5"/>
  <c r="G22" i="5"/>
  <c r="I23" i="5"/>
  <c r="G3" i="7"/>
  <c r="R3" i="7"/>
  <c r="M4" i="7"/>
  <c r="H5" i="7"/>
  <c r="R5" i="7"/>
  <c r="M6" i="7"/>
  <c r="L7" i="7"/>
  <c r="J8" i="7"/>
  <c r="H9" i="7"/>
  <c r="I10" i="7"/>
  <c r="K11" i="7"/>
  <c r="E15" i="7"/>
  <c r="S15" i="7"/>
  <c r="Q16" i="7"/>
  <c r="G18" i="7"/>
  <c r="P19" i="7"/>
  <c r="K21" i="7"/>
  <c r="L23" i="7"/>
  <c r="R28" i="7"/>
  <c r="E3" i="9"/>
  <c r="P4" i="9"/>
  <c r="K6" i="9"/>
  <c r="F8" i="9"/>
  <c r="N10" i="9"/>
  <c r="G14" i="9"/>
  <c r="G7" i="11"/>
  <c r="L7" i="12"/>
  <c r="J3" i="5"/>
  <c r="E5" i="5"/>
  <c r="H6" i="5"/>
  <c r="J7" i="5"/>
  <c r="E9" i="5"/>
  <c r="C13" i="5"/>
  <c r="F14" i="5"/>
  <c r="I15" i="5"/>
  <c r="C17" i="5"/>
  <c r="F18" i="5"/>
  <c r="I22" i="5"/>
  <c r="J3" i="7"/>
  <c r="D4" i="7"/>
  <c r="O4" i="7"/>
  <c r="J5" i="7"/>
  <c r="E6" i="7"/>
  <c r="Q6" i="7"/>
  <c r="O7" i="7"/>
  <c r="N8" i="7"/>
  <c r="L9" i="7"/>
  <c r="L10" i="7"/>
  <c r="D12" i="7"/>
  <c r="H15" i="7"/>
  <c r="G16" i="7"/>
  <c r="E17" i="7"/>
  <c r="K18" i="7"/>
  <c r="D20" i="7"/>
  <c r="O21" i="7"/>
  <c r="E24" i="7"/>
  <c r="F29" i="7"/>
  <c r="I3" i="9"/>
  <c r="D5" i="9"/>
  <c r="O6" i="9"/>
  <c r="J8" i="9"/>
  <c r="G11" i="9"/>
  <c r="P14" i="9"/>
  <c r="I3" i="11"/>
  <c r="I8" i="11"/>
  <c r="S10" i="12"/>
  <c r="D13" i="5"/>
  <c r="J22" i="5"/>
  <c r="K5" i="7"/>
  <c r="N9" i="7"/>
  <c r="I17" i="7"/>
  <c r="F22" i="7"/>
  <c r="J24" i="7"/>
  <c r="K29" i="7"/>
  <c r="I5" i="9"/>
  <c r="O15" i="9"/>
  <c r="R3" i="11"/>
  <c r="G10" i="11"/>
  <c r="P14" i="12"/>
  <c r="C4" i="5"/>
  <c r="G14" i="5"/>
  <c r="S6" i="7"/>
  <c r="F12" i="7"/>
  <c r="D7" i="9"/>
  <c r="G13" i="5"/>
  <c r="H6" i="7"/>
  <c r="D11" i="7"/>
  <c r="L17" i="7"/>
  <c r="J22" i="7"/>
  <c r="D28" i="7"/>
  <c r="R3" i="9"/>
  <c r="C9" i="9"/>
  <c r="I12" i="9"/>
  <c r="J19" i="9"/>
  <c r="K4" i="11"/>
  <c r="K12" i="11"/>
  <c r="F20" i="12"/>
  <c r="I6" i="5"/>
  <c r="F9" i="5"/>
  <c r="G18" i="5"/>
  <c r="K3" i="7"/>
  <c r="F6" i="7"/>
  <c r="O10" i="7"/>
  <c r="O8" i="9"/>
  <c r="C7" i="5"/>
  <c r="I14" i="5"/>
  <c r="J18" i="5"/>
  <c r="H4" i="7"/>
  <c r="D7" i="7"/>
  <c r="P9" i="7"/>
  <c r="J16" i="7"/>
  <c r="H7" i="9"/>
  <c r="G4" i="5"/>
  <c r="G8" i="5"/>
  <c r="E16" i="5"/>
  <c r="F23" i="5"/>
  <c r="I4" i="7"/>
  <c r="D5" i="7"/>
  <c r="O5" i="7"/>
  <c r="F8" i="7"/>
  <c r="E9" i="7"/>
  <c r="E10" i="7"/>
  <c r="H11" i="7"/>
  <c r="K12" i="7"/>
  <c r="O15" i="7"/>
  <c r="N16" i="7"/>
  <c r="P17" i="7"/>
  <c r="G19" i="7"/>
  <c r="R20" i="7"/>
  <c r="O22" i="7"/>
  <c r="I28" i="7"/>
  <c r="G4" i="9"/>
  <c r="R5" i="9"/>
  <c r="M7" i="9"/>
  <c r="L9" i="9"/>
  <c r="R12" i="9"/>
  <c r="C20" i="9"/>
  <c r="I5" i="11"/>
  <c r="P17" i="11"/>
  <c r="Q9" i="9"/>
  <c r="C11" i="9"/>
  <c r="E12" i="9"/>
  <c r="N12" i="9"/>
  <c r="P13" i="9"/>
  <c r="L14" i="9"/>
  <c r="K15" i="9"/>
  <c r="F19" i="9"/>
  <c r="O19" i="9"/>
  <c r="H20" i="9"/>
  <c r="Q20" i="9"/>
  <c r="E3" i="11"/>
  <c r="N3" i="11"/>
  <c r="Q4" i="11"/>
  <c r="P5" i="11"/>
  <c r="O6" i="11"/>
  <c r="N7" i="11"/>
  <c r="C9" i="11"/>
  <c r="U10" i="11"/>
  <c r="G16" i="11"/>
  <c r="D3" i="12"/>
  <c r="L5" i="12"/>
  <c r="M8" i="12"/>
  <c r="E12" i="12"/>
  <c r="G16" i="12"/>
  <c r="J27" i="12"/>
  <c r="H9" i="9"/>
  <c r="J10" i="9"/>
  <c r="L11" i="9"/>
  <c r="G13" i="9"/>
  <c r="E4" i="11"/>
  <c r="E3" i="5"/>
  <c r="D4" i="5"/>
  <c r="D5" i="5"/>
  <c r="C6" i="5"/>
  <c r="J6" i="5"/>
  <c r="I7" i="5"/>
  <c r="H8" i="5"/>
  <c r="H9" i="5"/>
  <c r="H10" i="5"/>
  <c r="I13" i="5"/>
  <c r="H14" i="5"/>
  <c r="G15" i="5"/>
  <c r="G16" i="5"/>
  <c r="F17" i="5"/>
  <c r="E18" i="5"/>
  <c r="D22" i="5"/>
  <c r="C23" i="5"/>
  <c r="E3" i="7"/>
  <c r="L3" i="7"/>
  <c r="S3" i="7"/>
  <c r="J4" i="7"/>
  <c r="R4" i="7"/>
  <c r="I5" i="7"/>
  <c r="P5" i="7"/>
  <c r="G6" i="7"/>
  <c r="N6" i="7"/>
  <c r="F7" i="7"/>
  <c r="M7" i="7"/>
  <c r="D8" i="7"/>
  <c r="K8" i="7"/>
  <c r="R8" i="7"/>
  <c r="J9" i="7"/>
  <c r="Q9" i="7"/>
  <c r="J10" i="7"/>
  <c r="E11" i="7"/>
  <c r="L11" i="7"/>
  <c r="I12" i="7"/>
  <c r="F15" i="7"/>
  <c r="M15" i="7"/>
  <c r="D16" i="7"/>
  <c r="K16" i="7"/>
  <c r="S16" i="7"/>
  <c r="J17" i="7"/>
  <c r="Q17" i="7"/>
  <c r="H18" i="7"/>
  <c r="O18" i="7"/>
  <c r="H19" i="7"/>
  <c r="Q19" i="7"/>
  <c r="J20" i="7"/>
  <c r="S20" i="7"/>
  <c r="L21" i="7"/>
  <c r="G22" i="7"/>
  <c r="D23" i="7"/>
  <c r="M23" i="7"/>
  <c r="K24" i="7"/>
  <c r="J28" i="7"/>
  <c r="S28" i="7"/>
  <c r="L29" i="7"/>
  <c r="F3" i="9"/>
  <c r="O3" i="9"/>
  <c r="H4" i="9"/>
  <c r="Q4" i="9"/>
  <c r="J5" i="9"/>
  <c r="C6" i="9"/>
  <c r="L6" i="9"/>
  <c r="E7" i="9"/>
  <c r="N7" i="9"/>
  <c r="G8" i="9"/>
  <c r="P8" i="9"/>
  <c r="I9" i="9"/>
  <c r="R9" i="9"/>
  <c r="K10" i="9"/>
  <c r="D11" i="9"/>
  <c r="M11" i="9"/>
  <c r="F12" i="9"/>
  <c r="O12" i="9"/>
  <c r="H13" i="9"/>
  <c r="Q13" i="9"/>
  <c r="M14" i="9"/>
  <c r="L15" i="9"/>
  <c r="G19" i="9"/>
  <c r="P19" i="9"/>
  <c r="I20" i="9"/>
  <c r="R20" i="9"/>
  <c r="F3" i="11"/>
  <c r="O3" i="11"/>
  <c r="H4" i="11"/>
  <c r="C5" i="11"/>
  <c r="U5" i="11"/>
  <c r="T6" i="11"/>
  <c r="S7" i="11"/>
  <c r="N9" i="11"/>
  <c r="O11" i="11"/>
  <c r="T16" i="11"/>
  <c r="R3" i="12"/>
  <c r="K6" i="12"/>
  <c r="M9" i="12"/>
  <c r="J13" i="12"/>
  <c r="Q17" i="12"/>
  <c r="P6" i="7"/>
  <c r="G7" i="7"/>
  <c r="N7" i="7"/>
  <c r="E8" i="7"/>
  <c r="L8" i="7"/>
  <c r="D9" i="7"/>
  <c r="K9" i="7"/>
  <c r="D10" i="7"/>
  <c r="K10" i="7"/>
  <c r="F11" i="7"/>
  <c r="N11" i="7"/>
  <c r="J12" i="7"/>
  <c r="G15" i="7"/>
  <c r="N15" i="7"/>
  <c r="E16" i="7"/>
  <c r="M16" i="7"/>
  <c r="D17" i="7"/>
  <c r="K17" i="7"/>
  <c r="R17" i="7"/>
  <c r="I18" i="7"/>
  <c r="Q18" i="7"/>
  <c r="J19" i="7"/>
  <c r="S19" i="7"/>
  <c r="L20" i="7"/>
  <c r="E21" i="7"/>
  <c r="N21" i="7"/>
  <c r="I22" i="7"/>
  <c r="F23" i="7"/>
  <c r="D24" i="7"/>
  <c r="M24" i="7"/>
  <c r="L28" i="7"/>
  <c r="E29" i="7"/>
  <c r="N29" i="7"/>
  <c r="H3" i="9"/>
  <c r="Q3" i="9"/>
  <c r="J4" i="9"/>
  <c r="C5" i="9"/>
  <c r="L5" i="9"/>
  <c r="E6" i="9"/>
  <c r="N6" i="9"/>
  <c r="G7" i="9"/>
  <c r="P7" i="9"/>
  <c r="I8" i="9"/>
  <c r="R8" i="9"/>
  <c r="K9" i="9"/>
  <c r="D10" i="9"/>
  <c r="M10" i="9"/>
  <c r="F11" i="9"/>
  <c r="O11" i="9"/>
  <c r="H12" i="9"/>
  <c r="Q12" i="9"/>
  <c r="J13" i="9"/>
  <c r="F14" i="9"/>
  <c r="O14" i="9"/>
  <c r="N15" i="9"/>
  <c r="I19" i="9"/>
  <c r="R19" i="9"/>
  <c r="K20" i="9"/>
  <c r="H3" i="11"/>
  <c r="Q3" i="11"/>
  <c r="J4" i="11"/>
  <c r="D5" i="11"/>
  <c r="C6" i="11"/>
  <c r="U6" i="11"/>
  <c r="T7" i="11"/>
  <c r="O9" i="11"/>
  <c r="P11" i="11"/>
  <c r="C17" i="11"/>
  <c r="S3" i="12"/>
  <c r="L6" i="12"/>
  <c r="N9" i="12"/>
  <c r="L13" i="12"/>
  <c r="R17" i="12"/>
  <c r="F20" i="25"/>
  <c r="G13" i="25"/>
  <c r="G12" i="25"/>
  <c r="G11" i="25"/>
  <c r="G10" i="25"/>
  <c r="G9" i="25"/>
  <c r="G8" i="25"/>
  <c r="G7" i="25"/>
  <c r="B6" i="25"/>
  <c r="J13" i="25"/>
  <c r="F12" i="25"/>
  <c r="B11" i="25"/>
  <c r="A10" i="25"/>
  <c r="K8" i="25"/>
  <c r="J7" i="25"/>
  <c r="A6" i="25"/>
  <c r="R27" i="12"/>
  <c r="L27" i="12"/>
  <c r="F27" i="12"/>
  <c r="U26" i="12"/>
  <c r="O26" i="12"/>
  <c r="I26" i="12"/>
  <c r="C26" i="12"/>
  <c r="I23" i="12"/>
  <c r="J22" i="12"/>
  <c r="M21" i="12"/>
  <c r="G21" i="12"/>
  <c r="K20" i="12"/>
  <c r="Q19" i="12"/>
  <c r="K19" i="12"/>
  <c r="Q18" i="12"/>
  <c r="K18" i="12"/>
  <c r="E18" i="12"/>
  <c r="M17" i="12"/>
  <c r="G17" i="12"/>
  <c r="P16" i="12"/>
  <c r="J16" i="12"/>
  <c r="D16" i="12"/>
  <c r="P15" i="12"/>
  <c r="J15" i="12"/>
  <c r="D15" i="12"/>
  <c r="R14" i="12"/>
  <c r="L14" i="12"/>
  <c r="F14" i="12"/>
  <c r="U13" i="12"/>
  <c r="O13" i="12"/>
  <c r="I13" i="12"/>
  <c r="C13" i="12"/>
  <c r="R12" i="12"/>
  <c r="L12" i="12"/>
  <c r="F12" i="12"/>
  <c r="U11" i="12"/>
  <c r="O11" i="12"/>
  <c r="I11" i="12"/>
  <c r="C11" i="12"/>
  <c r="R10" i="12"/>
  <c r="L10" i="12"/>
  <c r="F10" i="12"/>
  <c r="U9" i="12"/>
  <c r="O9" i="12"/>
  <c r="F21" i="25"/>
  <c r="F13" i="25"/>
  <c r="B12" i="25"/>
  <c r="A11" i="25"/>
  <c r="K9" i="25"/>
  <c r="J8" i="25"/>
  <c r="F7" i="25"/>
  <c r="W27" i="12"/>
  <c r="Q27" i="12"/>
  <c r="K27" i="12"/>
  <c r="E27" i="12"/>
  <c r="T26" i="12"/>
  <c r="N26" i="12"/>
  <c r="H26" i="12"/>
  <c r="N23" i="12"/>
  <c r="H23" i="12"/>
  <c r="I18" i="25"/>
  <c r="B13" i="25"/>
  <c r="A12" i="25"/>
  <c r="K10" i="25"/>
  <c r="J9" i="25"/>
  <c r="F8" i="25"/>
  <c r="B7" i="25"/>
  <c r="I17" i="25"/>
  <c r="A13" i="25"/>
  <c r="K11" i="25"/>
  <c r="J10" i="25"/>
  <c r="F9" i="25"/>
  <c r="B8" i="25"/>
  <c r="A7" i="25"/>
  <c r="I16" i="25"/>
  <c r="K12" i="25"/>
  <c r="J11" i="25"/>
  <c r="F10" i="25"/>
  <c r="B9" i="25"/>
  <c r="A8" i="25"/>
  <c r="G6" i="25"/>
  <c r="T27" i="12"/>
  <c r="N27" i="12"/>
  <c r="H27" i="12"/>
  <c r="W26" i="12"/>
  <c r="Q26" i="12"/>
  <c r="K26" i="12"/>
  <c r="E26" i="12"/>
  <c r="K23" i="12"/>
  <c r="L22" i="12"/>
  <c r="O21" i="12"/>
  <c r="I21" i="12"/>
  <c r="M20" i="12"/>
  <c r="G20" i="12"/>
  <c r="M19" i="12"/>
  <c r="G19" i="12"/>
  <c r="M18" i="12"/>
  <c r="G18" i="12"/>
  <c r="O17" i="12"/>
  <c r="I17" i="12"/>
  <c r="R16" i="12"/>
  <c r="L16" i="12"/>
  <c r="F16" i="12"/>
  <c r="R15" i="12"/>
  <c r="L15" i="12"/>
  <c r="F15" i="12"/>
  <c r="T14" i="12"/>
  <c r="N14" i="12"/>
  <c r="H14" i="12"/>
  <c r="W13" i="12"/>
  <c r="Q13" i="12"/>
  <c r="K13" i="12"/>
  <c r="E13" i="12"/>
  <c r="T12" i="12"/>
  <c r="N12" i="12"/>
  <c r="H12" i="12"/>
  <c r="W11" i="12"/>
  <c r="Q11" i="12"/>
  <c r="K11" i="12"/>
  <c r="E11" i="12"/>
  <c r="T10" i="12"/>
  <c r="N10" i="12"/>
  <c r="H10" i="12"/>
  <c r="W9" i="12"/>
  <c r="Q9" i="12"/>
  <c r="K9" i="12"/>
  <c r="E9" i="12"/>
  <c r="T8" i="12"/>
  <c r="N8" i="12"/>
  <c r="H8" i="12"/>
  <c r="W7" i="12"/>
  <c r="Q7" i="12"/>
  <c r="K7" i="12"/>
  <c r="E7" i="12"/>
  <c r="T6" i="12"/>
  <c r="N6" i="12"/>
  <c r="H6" i="12"/>
  <c r="W5" i="12"/>
  <c r="Q5" i="12"/>
  <c r="K5" i="12"/>
  <c r="E5" i="12"/>
  <c r="T4" i="12"/>
  <c r="N4" i="12"/>
  <c r="H4" i="12"/>
  <c r="W3" i="12"/>
  <c r="Q3" i="12"/>
  <c r="K3" i="12"/>
  <c r="E3" i="12"/>
  <c r="T17" i="11"/>
  <c r="N17" i="11"/>
  <c r="H17" i="11"/>
  <c r="U16" i="11"/>
  <c r="O16" i="11"/>
  <c r="I16" i="11"/>
  <c r="C16" i="11"/>
  <c r="P12" i="11"/>
  <c r="J12" i="11"/>
  <c r="D12" i="11"/>
  <c r="Q11" i="11"/>
  <c r="K11" i="11"/>
  <c r="E11" i="11"/>
  <c r="R10" i="11"/>
  <c r="F11" i="25"/>
  <c r="U27" i="12"/>
  <c r="I27" i="12"/>
  <c r="R26" i="12"/>
  <c r="F26" i="12"/>
  <c r="M22" i="12"/>
  <c r="L21" i="12"/>
  <c r="N20" i="12"/>
  <c r="P19" i="12"/>
  <c r="H19" i="12"/>
  <c r="J18" i="12"/>
  <c r="P17" i="12"/>
  <c r="F17" i="12"/>
  <c r="M16" i="12"/>
  <c r="U15" i="12"/>
  <c r="M15" i="12"/>
  <c r="W14" i="12"/>
  <c r="O14" i="12"/>
  <c r="E14" i="12"/>
  <c r="R13" i="12"/>
  <c r="H13" i="12"/>
  <c r="U12" i="12"/>
  <c r="K12" i="12"/>
  <c r="C12" i="12"/>
  <c r="N11" i="12"/>
  <c r="F11" i="12"/>
  <c r="Q10" i="12"/>
  <c r="I10" i="12"/>
  <c r="T9" i="12"/>
  <c r="L9" i="12"/>
  <c r="D9" i="12"/>
  <c r="R8" i="12"/>
  <c r="K8" i="12"/>
  <c r="D8" i="12"/>
  <c r="R7" i="12"/>
  <c r="J7" i="12"/>
  <c r="C7" i="12"/>
  <c r="Q6" i="12"/>
  <c r="J6" i="12"/>
  <c r="C6" i="12"/>
  <c r="P5" i="12"/>
  <c r="I5" i="12"/>
  <c r="W4" i="12"/>
  <c r="P4" i="12"/>
  <c r="I4" i="12"/>
  <c r="V3" i="12"/>
  <c r="O3" i="12"/>
  <c r="H3" i="12"/>
  <c r="U17" i="11"/>
  <c r="M17" i="11"/>
  <c r="F17" i="11"/>
  <c r="R16" i="11"/>
  <c r="K16" i="11"/>
  <c r="D16" i="11"/>
  <c r="O12" i="11"/>
  <c r="H12" i="11"/>
  <c r="T11" i="11"/>
  <c r="M11" i="11"/>
  <c r="F11" i="11"/>
  <c r="Q10" i="11"/>
  <c r="K10" i="11"/>
  <c r="E10" i="11"/>
  <c r="R9" i="11"/>
  <c r="L9" i="11"/>
  <c r="F9" i="11"/>
  <c r="S8" i="11"/>
  <c r="M8" i="11"/>
  <c r="G8" i="11"/>
  <c r="B10" i="25"/>
  <c r="S27" i="12"/>
  <c r="G27" i="12"/>
  <c r="P26" i="12"/>
  <c r="D26" i="12"/>
  <c r="K22" i="12"/>
  <c r="K21" i="12"/>
  <c r="L20" i="12"/>
  <c r="O19" i="12"/>
  <c r="F19" i="12"/>
  <c r="I18" i="12"/>
  <c r="N17" i="12"/>
  <c r="E17" i="12"/>
  <c r="K16" i="12"/>
  <c r="T15" i="12"/>
  <c r="K15" i="12"/>
  <c r="V14" i="12"/>
  <c r="M14" i="12"/>
  <c r="D14" i="12"/>
  <c r="P13" i="12"/>
  <c r="G13" i="12"/>
  <c r="S12" i="12"/>
  <c r="J12" i="12"/>
  <c r="V11" i="12"/>
  <c r="M11" i="12"/>
  <c r="D11" i="12"/>
  <c r="P10" i="12"/>
  <c r="G10" i="12"/>
  <c r="S9" i="12"/>
  <c r="J9" i="12"/>
  <c r="C9" i="12"/>
  <c r="Q8" i="12"/>
  <c r="J8" i="12"/>
  <c r="C8" i="12"/>
  <c r="P7" i="12"/>
  <c r="I7" i="12"/>
  <c r="W6" i="12"/>
  <c r="P6" i="12"/>
  <c r="I6" i="12"/>
  <c r="V5" i="12"/>
  <c r="O5" i="12"/>
  <c r="H5" i="12"/>
  <c r="V4" i="12"/>
  <c r="O4" i="12"/>
  <c r="G4" i="12"/>
  <c r="U3" i="12"/>
  <c r="N3" i="12"/>
  <c r="G3" i="12"/>
  <c r="S17" i="11"/>
  <c r="L17" i="11"/>
  <c r="E17" i="11"/>
  <c r="Q16" i="11"/>
  <c r="J16" i="11"/>
  <c r="U12" i="11"/>
  <c r="N12" i="11"/>
  <c r="G12" i="11"/>
  <c r="S11" i="11"/>
  <c r="L11" i="11"/>
  <c r="D11" i="11"/>
  <c r="P10" i="11"/>
  <c r="J10" i="11"/>
  <c r="D10" i="11"/>
  <c r="Q9" i="11"/>
  <c r="K9" i="11"/>
  <c r="E9" i="11"/>
  <c r="R8" i="11"/>
  <c r="L8" i="11"/>
  <c r="F8" i="11"/>
  <c r="A9" i="25"/>
  <c r="P27" i="12"/>
  <c r="D27" i="12"/>
  <c r="M26" i="12"/>
  <c r="M23" i="12"/>
  <c r="I22" i="12"/>
  <c r="J21" i="12"/>
  <c r="J20" i="12"/>
  <c r="N19" i="12"/>
  <c r="P18" i="12"/>
  <c r="H18" i="12"/>
  <c r="L17" i="12"/>
  <c r="S16" i="12"/>
  <c r="I16" i="12"/>
  <c r="S15" i="12"/>
  <c r="I15" i="12"/>
  <c r="U14" i="12"/>
  <c r="K14" i="12"/>
  <c r="C14" i="12"/>
  <c r="N13" i="12"/>
  <c r="F13" i="12"/>
  <c r="Q12" i="12"/>
  <c r="I12" i="12"/>
  <c r="T11" i="12"/>
  <c r="L11" i="12"/>
  <c r="W10" i="12"/>
  <c r="O10" i="12"/>
  <c r="E10" i="12"/>
  <c r="R9" i="12"/>
  <c r="I9" i="12"/>
  <c r="W8" i="12"/>
  <c r="P8" i="12"/>
  <c r="I8" i="12"/>
  <c r="V7" i="12"/>
  <c r="O7" i="12"/>
  <c r="H7" i="12"/>
  <c r="V6" i="12"/>
  <c r="O6" i="12"/>
  <c r="G6" i="12"/>
  <c r="U5" i="12"/>
  <c r="N5" i="12"/>
  <c r="G5" i="12"/>
  <c r="U4" i="12"/>
  <c r="M4" i="12"/>
  <c r="F4" i="12"/>
  <c r="T3" i="12"/>
  <c r="M3" i="12"/>
  <c r="F3" i="12"/>
  <c r="R17" i="11"/>
  <c r="K17" i="11"/>
  <c r="D17" i="11"/>
  <c r="P16" i="11"/>
  <c r="H16" i="11"/>
  <c r="T12" i="11"/>
  <c r="M12" i="11"/>
  <c r="F12" i="11"/>
  <c r="R11" i="11"/>
  <c r="J11" i="11"/>
  <c r="C11" i="11"/>
  <c r="O10" i="11"/>
  <c r="I10" i="11"/>
  <c r="C10" i="11"/>
  <c r="P9" i="11"/>
  <c r="J9" i="11"/>
  <c r="D9" i="11"/>
  <c r="Q8" i="11"/>
  <c r="K8" i="11"/>
  <c r="E8" i="11"/>
  <c r="K7" i="25"/>
  <c r="O27" i="12"/>
  <c r="C27" i="12"/>
  <c r="L26" i="12"/>
  <c r="L23" i="12"/>
  <c r="H22" i="12"/>
  <c r="H21" i="12"/>
  <c r="I20" i="12"/>
  <c r="L19" i="12"/>
  <c r="O18" i="12"/>
  <c r="F18" i="12"/>
  <c r="K17" i="12"/>
  <c r="Q16" i="12"/>
  <c r="H16" i="12"/>
  <c r="Q15" i="12"/>
  <c r="H15" i="12"/>
  <c r="S14" i="12"/>
  <c r="J14" i="12"/>
  <c r="V13" i="12"/>
  <c r="M13" i="12"/>
  <c r="D13" i="12"/>
  <c r="P12" i="12"/>
  <c r="G12" i="12"/>
  <c r="S11" i="12"/>
  <c r="J11" i="12"/>
  <c r="V10" i="12"/>
  <c r="M10" i="12"/>
  <c r="D10" i="12"/>
  <c r="P9" i="12"/>
  <c r="H9" i="12"/>
  <c r="V8" i="12"/>
  <c r="O8" i="12"/>
  <c r="G8" i="12"/>
  <c r="U7" i="12"/>
  <c r="N7" i="12"/>
  <c r="G7" i="12"/>
  <c r="U6" i="12"/>
  <c r="M6" i="12"/>
  <c r="F6" i="12"/>
  <c r="T5" i="12"/>
  <c r="M5" i="12"/>
  <c r="F5" i="12"/>
  <c r="S4" i="12"/>
  <c r="K13" i="25"/>
  <c r="V26" i="12"/>
  <c r="G22" i="12"/>
  <c r="J19" i="12"/>
  <c r="J17" i="12"/>
  <c r="O15" i="12"/>
  <c r="I14" i="12"/>
  <c r="W12" i="12"/>
  <c r="R11" i="12"/>
  <c r="K10" i="12"/>
  <c r="G9" i="12"/>
  <c r="F8" i="12"/>
  <c r="F7" i="12"/>
  <c r="E6" i="12"/>
  <c r="D5" i="12"/>
  <c r="J4" i="12"/>
  <c r="P3" i="12"/>
  <c r="O17" i="11"/>
  <c r="S16" i="11"/>
  <c r="E16" i="11"/>
  <c r="I12" i="11"/>
  <c r="N11" i="11"/>
  <c r="S10" i="11"/>
  <c r="F10" i="11"/>
  <c r="M9" i="11"/>
  <c r="T8" i="11"/>
  <c r="H8" i="11"/>
  <c r="R7" i="11"/>
  <c r="L7" i="11"/>
  <c r="F7" i="11"/>
  <c r="S6" i="11"/>
  <c r="M6" i="11"/>
  <c r="G6" i="11"/>
  <c r="T5" i="11"/>
  <c r="N5" i="11"/>
  <c r="H5" i="11"/>
  <c r="U4" i="11"/>
  <c r="O4" i="11"/>
  <c r="I4" i="11"/>
  <c r="C4" i="11"/>
  <c r="P3" i="11"/>
  <c r="J3" i="11"/>
  <c r="D3" i="11"/>
  <c r="M20" i="9"/>
  <c r="G20" i="9"/>
  <c r="Q19" i="9"/>
  <c r="K19" i="9"/>
  <c r="E19" i="9"/>
  <c r="M15" i="9"/>
  <c r="Q14" i="9"/>
  <c r="K14" i="9"/>
  <c r="R13" i="9"/>
  <c r="L13" i="9"/>
  <c r="F13" i="9"/>
  <c r="P12" i="9"/>
  <c r="J12" i="9"/>
  <c r="D12" i="9"/>
  <c r="N11" i="9"/>
  <c r="H11" i="9"/>
  <c r="R10" i="9"/>
  <c r="L10" i="9"/>
  <c r="F10" i="9"/>
  <c r="P9" i="9"/>
  <c r="J9" i="9"/>
  <c r="D9" i="9"/>
  <c r="N8" i="9"/>
  <c r="H8" i="9"/>
  <c r="R7" i="9"/>
  <c r="L7" i="9"/>
  <c r="F7" i="9"/>
  <c r="P6" i="9"/>
  <c r="J6" i="9"/>
  <c r="D6" i="9"/>
  <c r="N5" i="9"/>
  <c r="H5" i="9"/>
  <c r="R4" i="9"/>
  <c r="L4" i="9"/>
  <c r="F4" i="9"/>
  <c r="P3" i="9"/>
  <c r="J3" i="9"/>
  <c r="D3" i="9"/>
  <c r="P29" i="7"/>
  <c r="J29" i="7"/>
  <c r="D29" i="7"/>
  <c r="N28" i="7"/>
  <c r="H28" i="7"/>
  <c r="L24" i="7"/>
  <c r="F24" i="7"/>
  <c r="K23" i="7"/>
  <c r="E23" i="7"/>
  <c r="K22" i="7"/>
  <c r="E22" i="7"/>
  <c r="M21" i="7"/>
  <c r="G21" i="7"/>
  <c r="Q20" i="7"/>
  <c r="K20" i="7"/>
  <c r="E20" i="7"/>
  <c r="O19" i="7"/>
  <c r="I19" i="7"/>
  <c r="S18" i="7"/>
  <c r="J12" i="25"/>
  <c r="S26" i="12"/>
  <c r="N21" i="12"/>
  <c r="I19" i="12"/>
  <c r="H17" i="12"/>
  <c r="N15" i="12"/>
  <c r="G14" i="12"/>
  <c r="V12" i="12"/>
  <c r="P11" i="12"/>
  <c r="J10" i="12"/>
  <c r="F9" i="12"/>
  <c r="E8" i="12"/>
  <c r="D7" i="12"/>
  <c r="D6" i="12"/>
  <c r="C5" i="12"/>
  <c r="E4" i="12"/>
  <c r="L3" i="12"/>
  <c r="J17" i="11"/>
  <c r="N16" i="11"/>
  <c r="S12" i="11"/>
  <c r="E12" i="11"/>
  <c r="I11" i="11"/>
  <c r="N10" i="11"/>
  <c r="U9" i="11"/>
  <c r="I9" i="11"/>
  <c r="P8" i="11"/>
  <c r="D8" i="11"/>
  <c r="Q7" i="11"/>
  <c r="K7" i="11"/>
  <c r="E7" i="11"/>
  <c r="R6" i="11"/>
  <c r="L6" i="11"/>
  <c r="F6" i="11"/>
  <c r="S5" i="11"/>
  <c r="M5" i="11"/>
  <c r="G5" i="11"/>
  <c r="T4" i="11"/>
  <c r="F6" i="25"/>
  <c r="J26" i="12"/>
  <c r="P20" i="12"/>
  <c r="N18" i="12"/>
  <c r="O16" i="12"/>
  <c r="G15" i="12"/>
  <c r="T13" i="12"/>
  <c r="O12" i="12"/>
  <c r="H11" i="12"/>
  <c r="C10" i="12"/>
  <c r="U8" i="12"/>
  <c r="T7" i="12"/>
  <c r="S6" i="12"/>
  <c r="S5" i="12"/>
  <c r="R4" i="12"/>
  <c r="D4" i="12"/>
  <c r="J3" i="12"/>
  <c r="I17" i="11"/>
  <c r="M16" i="11"/>
  <c r="R12" i="11"/>
  <c r="C12" i="11"/>
  <c r="H11" i="11"/>
  <c r="M10" i="11"/>
  <c r="T9" i="11"/>
  <c r="H9" i="11"/>
  <c r="O8" i="11"/>
  <c r="C8" i="11"/>
  <c r="P7" i="11"/>
  <c r="J7" i="11"/>
  <c r="D7" i="11"/>
  <c r="Q6" i="11"/>
  <c r="K6" i="11"/>
  <c r="E6" i="11"/>
  <c r="R5" i="11"/>
  <c r="L5" i="11"/>
  <c r="F5" i="11"/>
  <c r="S4" i="11"/>
  <c r="M4" i="11"/>
  <c r="G4" i="11"/>
  <c r="T3" i="11"/>
  <c r="V27" i="12"/>
  <c r="G26" i="12"/>
  <c r="O20" i="12"/>
  <c r="L18" i="12"/>
  <c r="N16" i="12"/>
  <c r="E15" i="12"/>
  <c r="S13" i="12"/>
  <c r="M12" i="12"/>
  <c r="G11" i="12"/>
  <c r="V9" i="12"/>
  <c r="S8" i="12"/>
  <c r="S7" i="12"/>
  <c r="R6" i="12"/>
  <c r="R5" i="12"/>
  <c r="Q4" i="12"/>
  <c r="C4" i="12"/>
  <c r="I3" i="12"/>
  <c r="G17" i="11"/>
  <c r="L16" i="11"/>
  <c r="Q12" i="11"/>
  <c r="U11" i="11"/>
  <c r="G11" i="11"/>
  <c r="L10" i="11"/>
  <c r="S9" i="11"/>
  <c r="G9" i="11"/>
  <c r="N8" i="11"/>
  <c r="U7" i="11"/>
  <c r="O7" i="11"/>
  <c r="I7" i="11"/>
  <c r="C7" i="11"/>
  <c r="P6" i="11"/>
  <c r="J6" i="11"/>
  <c r="D6" i="11"/>
  <c r="Q5" i="11"/>
  <c r="K5" i="11"/>
  <c r="E5" i="11"/>
  <c r="R4" i="11"/>
  <c r="L4" i="11"/>
  <c r="F4" i="11"/>
  <c r="S3" i="11"/>
  <c r="M3" i="11"/>
  <c r="G3" i="11"/>
  <c r="P20" i="9"/>
  <c r="J20" i="9"/>
  <c r="D20" i="9"/>
  <c r="N19" i="9"/>
  <c r="H19" i="9"/>
  <c r="P15" i="9"/>
  <c r="J15" i="9"/>
  <c r="N14" i="9"/>
  <c r="H14" i="9"/>
  <c r="O13" i="9"/>
  <c r="I13" i="9"/>
  <c r="C13" i="9"/>
  <c r="M12" i="9"/>
  <c r="G12" i="9"/>
  <c r="Q11" i="9"/>
  <c r="K11" i="9"/>
  <c r="E11" i="9"/>
  <c r="O10" i="9"/>
  <c r="I10" i="9"/>
  <c r="C10" i="9"/>
  <c r="M9" i="9"/>
  <c r="G9" i="9"/>
  <c r="Q8" i="9"/>
  <c r="K8" i="9"/>
  <c r="E8" i="9"/>
  <c r="O7" i="9"/>
  <c r="I7" i="9"/>
  <c r="C7" i="9"/>
  <c r="M6" i="9"/>
  <c r="G6" i="9"/>
  <c r="Q5" i="9"/>
  <c r="K5" i="9"/>
  <c r="E5" i="9"/>
  <c r="O4" i="9"/>
  <c r="I4" i="9"/>
  <c r="C4" i="9"/>
  <c r="M3" i="9"/>
  <c r="G3" i="9"/>
  <c r="S29" i="7"/>
  <c r="M29" i="7"/>
  <c r="G29" i="7"/>
  <c r="Q28" i="7"/>
  <c r="K28" i="7"/>
  <c r="E28" i="7"/>
  <c r="I24" i="7"/>
  <c r="N23" i="7"/>
  <c r="H23" i="7"/>
  <c r="N22" i="7"/>
  <c r="H22" i="7"/>
  <c r="P21" i="7"/>
  <c r="J21" i="7"/>
  <c r="D21" i="7"/>
  <c r="N20" i="7"/>
  <c r="H20" i="7"/>
  <c r="R19" i="7"/>
  <c r="L19" i="7"/>
  <c r="F19" i="7"/>
  <c r="P18" i="7"/>
  <c r="J18" i="7"/>
  <c r="D18" i="7"/>
  <c r="N17" i="7"/>
  <c r="H17" i="7"/>
  <c r="R16" i="7"/>
  <c r="L16" i="7"/>
  <c r="F16" i="7"/>
  <c r="P15" i="7"/>
  <c r="J15" i="7"/>
  <c r="D15" i="7"/>
  <c r="H12" i="7"/>
  <c r="M11" i="7"/>
  <c r="G11" i="7"/>
  <c r="M10" i="7"/>
  <c r="G10" i="7"/>
  <c r="O9" i="7"/>
  <c r="I9" i="7"/>
  <c r="S8" i="7"/>
  <c r="M8" i="7"/>
  <c r="G8" i="7"/>
  <c r="Q7" i="7"/>
  <c r="K7" i="7"/>
  <c r="E7" i="7"/>
  <c r="O6" i="7"/>
  <c r="I6" i="7"/>
  <c r="S5" i="7"/>
  <c r="M5" i="7"/>
  <c r="G5" i="7"/>
  <c r="Q4" i="7"/>
  <c r="K4" i="7"/>
  <c r="E4" i="7"/>
  <c r="O3" i="7"/>
  <c r="I3" i="7"/>
  <c r="J23" i="5"/>
  <c r="D23" i="5"/>
  <c r="F22" i="5"/>
  <c r="H18" i="5"/>
  <c r="J17" i="5"/>
  <c r="D17" i="5"/>
  <c r="F16" i="5"/>
  <c r="H15" i="5"/>
  <c r="J14" i="5"/>
  <c r="D14" i="5"/>
  <c r="F13" i="5"/>
  <c r="F10" i="5"/>
  <c r="G9" i="5"/>
  <c r="I8" i="5"/>
  <c r="C8" i="5"/>
  <c r="E7" i="5"/>
  <c r="G6" i="5"/>
  <c r="I5" i="5"/>
  <c r="C5" i="5"/>
  <c r="E4" i="5"/>
  <c r="G3" i="5"/>
  <c r="M27" i="12"/>
  <c r="J23" i="12"/>
  <c r="I3" i="5"/>
  <c r="H4" i="5"/>
  <c r="G5" i="5"/>
  <c r="F6" i="5"/>
  <c r="F7" i="5"/>
  <c r="E8" i="5"/>
  <c r="D9" i="5"/>
  <c r="D10" i="5"/>
  <c r="E13" i="5"/>
  <c r="E14" i="5"/>
  <c r="D15" i="5"/>
  <c r="C16" i="5"/>
  <c r="J16" i="5"/>
  <c r="I17" i="5"/>
  <c r="I18" i="5"/>
  <c r="H22" i="5"/>
  <c r="G23" i="5"/>
  <c r="H3" i="7"/>
  <c r="P3" i="7"/>
  <c r="G4" i="7"/>
  <c r="N4" i="7"/>
  <c r="E5" i="7"/>
  <c r="L5" i="7"/>
  <c r="D6" i="7"/>
  <c r="K6" i="7"/>
  <c r="R6" i="7"/>
  <c r="I7" i="7"/>
  <c r="P7" i="7"/>
  <c r="H8" i="7"/>
  <c r="O8" i="7"/>
  <c r="F9" i="7"/>
  <c r="M9" i="7"/>
  <c r="F10" i="7"/>
  <c r="N10" i="7"/>
  <c r="I11" i="7"/>
  <c r="E12" i="7"/>
  <c r="L12" i="7"/>
  <c r="I15" i="7"/>
  <c r="Q15" i="7"/>
  <c r="H16" i="7"/>
  <c r="O16" i="7"/>
  <c r="F17" i="7"/>
  <c r="M17" i="7"/>
  <c r="E18" i="7"/>
  <c r="L18" i="7"/>
  <c r="D19" i="7"/>
  <c r="M19" i="7"/>
  <c r="F20" i="7"/>
  <c r="O20" i="7"/>
  <c r="H21" i="7"/>
  <c r="Q21" i="7"/>
  <c r="L22" i="7"/>
  <c r="I23" i="7"/>
  <c r="G24" i="7"/>
  <c r="F28" i="7"/>
  <c r="O28" i="7"/>
  <c r="H29" i="7"/>
  <c r="Q29" i="7"/>
  <c r="K3" i="9"/>
  <c r="D4" i="9"/>
  <c r="M4" i="9"/>
  <c r="F5" i="9"/>
  <c r="O5" i="9"/>
  <c r="H6" i="9"/>
  <c r="Q6" i="9"/>
  <c r="J7" i="9"/>
  <c r="C8" i="9"/>
  <c r="L8" i="9"/>
  <c r="E9" i="9"/>
  <c r="N9" i="9"/>
  <c r="G10" i="9"/>
  <c r="P10" i="9"/>
  <c r="I11" i="9"/>
  <c r="R11" i="9"/>
  <c r="K12" i="9"/>
  <c r="D13" i="9"/>
  <c r="M13" i="9"/>
  <c r="I14" i="9"/>
  <c r="H15" i="9"/>
  <c r="C19" i="9"/>
  <c r="L19" i="9"/>
  <c r="E20" i="9"/>
  <c r="N20" i="9"/>
  <c r="K3" i="11"/>
  <c r="U3" i="11"/>
  <c r="N4" i="11"/>
  <c r="J5" i="11"/>
  <c r="I6" i="11"/>
  <c r="H7" i="11"/>
  <c r="J8" i="11"/>
  <c r="H10" i="11"/>
  <c r="L12" i="11"/>
  <c r="Q17" i="11"/>
  <c r="L4" i="12"/>
  <c r="M7" i="12"/>
  <c r="U10" i="12"/>
  <c r="Q14" i="12"/>
  <c r="H20" i="12"/>
  <c r="G17" i="7"/>
  <c r="O17" i="7"/>
  <c r="F18" i="7"/>
  <c r="M18" i="7"/>
  <c r="E19" i="7"/>
  <c r="N19" i="7"/>
  <c r="G20" i="7"/>
  <c r="P20" i="7"/>
  <c r="I21" i="7"/>
  <c r="D22" i="7"/>
  <c r="M22" i="7"/>
  <c r="J23" i="7"/>
  <c r="H24" i="7"/>
  <c r="G28" i="7"/>
  <c r="P28" i="7"/>
  <c r="I29" i="7"/>
  <c r="R29" i="7"/>
  <c r="C3" i="9"/>
  <c r="L3" i="9"/>
  <c r="E4" i="9"/>
  <c r="N4" i="9"/>
  <c r="G5" i="9"/>
  <c r="P5" i="9"/>
  <c r="I6" i="9"/>
  <c r="R6" i="9"/>
  <c r="K7" i="9"/>
  <c r="D8" i="9"/>
  <c r="M8" i="9"/>
  <c r="F9" i="9"/>
  <c r="O9" i="9"/>
  <c r="H10" i="9"/>
  <c r="Q10" i="9"/>
  <c r="J11" i="9"/>
  <c r="C12" i="9"/>
  <c r="L12" i="9"/>
  <c r="E13" i="9"/>
  <c r="N13" i="9"/>
  <c r="J14" i="9"/>
  <c r="I15" i="9"/>
  <c r="D19" i="9"/>
  <c r="M19" i="9"/>
  <c r="F20" i="9"/>
  <c r="O20" i="9"/>
  <c r="C3" i="11"/>
  <c r="L3" i="11"/>
  <c r="D4" i="11"/>
  <c r="P4" i="11"/>
  <c r="O5" i="11"/>
  <c r="N6" i="11"/>
  <c r="M7" i="11"/>
  <c r="U8" i="11"/>
  <c r="T10" i="11"/>
  <c r="F16" i="11"/>
  <c r="C3" i="12"/>
  <c r="J5" i="12"/>
  <c r="L8" i="12"/>
  <c r="D12" i="12"/>
  <c r="E16" i="12"/>
  <c r="N22" i="12"/>
  <c r="C13" i="25"/>
  <c r="C12" i="25"/>
  <c r="C11" i="25"/>
  <c r="C10" i="25"/>
  <c r="C9" i="25"/>
  <c r="C8" i="25"/>
  <c r="C7" i="25"/>
  <c r="C6" i="25"/>
  <c r="AA9" i="14"/>
  <c r="AA8" i="14"/>
  <c r="AA7" i="14"/>
  <c r="AA6" i="14"/>
  <c r="AA5" i="14"/>
  <c r="P20" i="14"/>
  <c r="P15" i="14"/>
  <c r="O15" i="14"/>
  <c r="N15" i="14"/>
  <c r="P14" i="14"/>
  <c r="O14" i="14"/>
  <c r="N14" i="14"/>
  <c r="L14" i="14"/>
  <c r="K14" i="14"/>
  <c r="P13" i="14"/>
  <c r="O13" i="14"/>
  <c r="N13" i="14"/>
  <c r="P12" i="14"/>
  <c r="O12" i="14"/>
  <c r="N12" i="14"/>
  <c r="P10" i="14"/>
  <c r="O10" i="14"/>
  <c r="N10" i="14"/>
  <c r="L10" i="14"/>
  <c r="K10" i="14"/>
  <c r="P9" i="14"/>
  <c r="O9" i="14"/>
  <c r="N9" i="14"/>
  <c r="L9" i="14"/>
  <c r="K9" i="14"/>
  <c r="P7" i="14"/>
  <c r="O7" i="14"/>
  <c r="N7" i="14"/>
  <c r="P6" i="14"/>
  <c r="O6" i="14"/>
  <c r="N6" i="14"/>
  <c r="L7" i="14"/>
  <c r="K7" i="14"/>
  <c r="L6" i="14"/>
  <c r="K6" i="14"/>
  <c r="P4" i="14"/>
  <c r="O4" i="14"/>
  <c r="N4" i="14"/>
  <c r="L4" i="14"/>
  <c r="K4" i="14"/>
  <c r="F32" i="14"/>
  <c r="F30" i="14"/>
  <c r="F28" i="14"/>
  <c r="F22" i="14"/>
  <c r="F20" i="14"/>
  <c r="F18" i="14"/>
  <c r="B37" i="14"/>
  <c r="B35" i="14"/>
  <c r="B33" i="14"/>
  <c r="B27" i="14"/>
  <c r="B25" i="14"/>
  <c r="F12" i="14"/>
  <c r="F10" i="14"/>
  <c r="F8" i="14"/>
  <c r="F6" i="14"/>
  <c r="B19" i="14"/>
  <c r="B17" i="14"/>
  <c r="B15" i="14"/>
  <c r="B13" i="14"/>
  <c r="B11" i="14"/>
  <c r="B9" i="14"/>
  <c r="L34" i="12"/>
  <c r="L33" i="12"/>
  <c r="L32" i="12"/>
  <c r="L31" i="12"/>
  <c r="L30" i="12"/>
  <c r="K26" i="11"/>
  <c r="K25" i="11"/>
  <c r="K24" i="11"/>
  <c r="K23" i="11"/>
  <c r="K21" i="11"/>
  <c r="L28" i="9"/>
  <c r="L27" i="9"/>
  <c r="L26" i="9"/>
  <c r="L25" i="9"/>
  <c r="L24" i="9"/>
  <c r="M41" i="7"/>
  <c r="M40" i="7"/>
  <c r="M39" i="7"/>
  <c r="M38" i="7"/>
  <c r="M37" i="7"/>
  <c r="M36" i="7"/>
  <c r="M35" i="7"/>
</calcChain>
</file>

<file path=xl/sharedStrings.xml><?xml version="1.0" encoding="utf-8"?>
<sst xmlns="http://schemas.openxmlformats.org/spreadsheetml/2006/main" count="1393" uniqueCount="515">
  <si>
    <r>
      <rPr>
        <b/>
        <sz val="24"/>
        <color rgb="FF294974"/>
        <rFont val="Ubuntu"/>
        <family val="2"/>
      </rPr>
      <t>Square 70</t>
    </r>
  </si>
  <si>
    <r>
      <rPr>
        <b/>
        <sz val="10"/>
        <color rgb="FFFFFFFF"/>
        <rFont val="Titillium Web"/>
      </rPr>
      <t>Motor (Screenjob LS40)                           Draaistangbediening</t>
    </r>
  </si>
  <si>
    <r>
      <rPr>
        <b/>
        <vertAlign val="subscript"/>
        <sz val="9"/>
        <color rgb="FF231F20"/>
        <rFont val="Titillium Web"/>
      </rPr>
      <t xml:space="preserve">H            </t>
    </r>
    <r>
      <rPr>
        <b/>
        <sz val="9"/>
        <color rgb="FF231F20"/>
        <rFont val="Titillium Web"/>
      </rPr>
      <t>B</t>
    </r>
  </si>
  <si>
    <r>
      <rPr>
        <b/>
        <sz val="9"/>
        <color rgb="FFFFFFFF"/>
        <rFont val="Titillium Web"/>
      </rPr>
      <t>Meerprijs Trend / RAL kleuren</t>
    </r>
  </si>
  <si>
    <r>
      <rPr>
        <b/>
        <sz val="9"/>
        <color rgb="FF231F20"/>
        <rFont val="Titillium Web"/>
      </rPr>
      <t>B</t>
    </r>
  </si>
  <si>
    <r>
      <rPr>
        <b/>
        <sz val="9"/>
        <color rgb="FF231F20"/>
        <rFont val="Titillium Web"/>
      </rPr>
      <t>RAL</t>
    </r>
  </si>
  <si>
    <r>
      <rPr>
        <b/>
        <sz val="9"/>
        <color rgb="FF231F20"/>
        <rFont val="Titillium Web"/>
      </rPr>
      <t>Trend</t>
    </r>
  </si>
  <si>
    <r>
      <rPr>
        <b/>
        <sz val="9"/>
        <color rgb="FFFFFFFF"/>
        <rFont val="Titillium Web"/>
      </rPr>
      <t>Veelgekozen opties</t>
    </r>
  </si>
  <si>
    <r>
      <rPr>
        <sz val="9"/>
        <color rgb="FF231F20"/>
        <rFont val="Titillium Web"/>
      </rPr>
      <t>Sunea io 40 16 rpm (meerprijs t.o.v. motor)</t>
    </r>
  </si>
  <si>
    <r>
      <rPr>
        <sz val="9"/>
        <color rgb="FF231F20"/>
        <rFont val="Titillium Web"/>
      </rPr>
      <t>Situo 1 io handzender</t>
    </r>
  </si>
  <si>
    <r>
      <rPr>
        <sz val="9"/>
        <color rgb="FF231F20"/>
        <rFont val="Titillium Web"/>
      </rPr>
      <t>Sunfix systeem draaistangbediening</t>
    </r>
  </si>
  <si>
    <r>
      <rPr>
        <sz val="9"/>
        <color rgb="FF231F20"/>
        <rFont val="Titillium Web"/>
      </rPr>
      <t>Sunfix elektrisch inclusief Sunfix schakelaar</t>
    </r>
  </si>
  <si>
    <r>
      <rPr>
        <sz val="9"/>
        <color rgb="FF231F20"/>
        <rFont val="Titillium Web"/>
      </rPr>
      <t>Minderprijs bandbediening (t.o.v. tabel draaistangbediening) -/-</t>
    </r>
  </si>
  <si>
    <r>
      <rPr>
        <b/>
        <vertAlign val="subscript"/>
        <sz val="9"/>
        <color rgb="FF231F20"/>
        <rFont val="Titillium Web"/>
      </rPr>
      <t xml:space="preserve">H      </t>
    </r>
    <r>
      <rPr>
        <b/>
        <sz val="9"/>
        <color rgb="FF231F20"/>
        <rFont val="Titillium Web"/>
      </rPr>
      <t>B</t>
    </r>
  </si>
  <si>
    <r>
      <rPr>
        <b/>
        <sz val="9"/>
        <color rgb="FF231F20"/>
        <rFont val="Titillium Web"/>
      </rPr>
      <t xml:space="preserve">Let op: </t>
    </r>
    <r>
      <rPr>
        <sz val="9"/>
        <color rgb="FF231F20"/>
        <rFont val="Titillium Web"/>
      </rPr>
      <t>vanaf hoogte 230 cm is kast 100 nodig.</t>
    </r>
  </si>
  <si>
    <r>
      <rPr>
        <sz val="9"/>
        <color rgb="FF231F20"/>
        <rFont val="Titillium Web"/>
      </rPr>
      <t>LT 50 32 rpm (meerprijs t.o.v. motor)</t>
    </r>
  </si>
  <si>
    <r>
      <rPr>
        <sz val="9"/>
        <color rgb="FF231F20"/>
        <rFont val="Titillium Web"/>
      </rPr>
      <t>Maestria io 32 rpm (meerprijs t.o.v. motor)</t>
    </r>
  </si>
  <si>
    <r>
      <rPr>
        <sz val="9"/>
        <color rgb="FF231F20"/>
        <rFont val="Titillium Web"/>
      </rPr>
      <t>Sunfix elektrisch (inclusief Maestria io)</t>
    </r>
  </si>
  <si>
    <r>
      <rPr>
        <b/>
        <sz val="10"/>
        <color rgb="FFFFFFFF"/>
        <rFont val="Titillium Web"/>
      </rPr>
      <t>Motor (LT50 12rpm)</t>
    </r>
  </si>
  <si>
    <r>
      <rPr>
        <b/>
        <vertAlign val="subscript"/>
        <sz val="9"/>
        <color rgb="FF231F20"/>
        <rFont val="Titillium Web"/>
      </rPr>
      <t xml:space="preserve">H       </t>
    </r>
    <r>
      <rPr>
        <b/>
        <sz val="9"/>
        <color rgb="FF231F20"/>
        <rFont val="Titillium Web"/>
      </rPr>
      <t>B</t>
    </r>
  </si>
  <si>
    <r>
      <rPr>
        <b/>
        <sz val="9"/>
        <color rgb="FF231F20"/>
        <rFont val="Titillium Web"/>
      </rPr>
      <t xml:space="preserve">Let op: </t>
    </r>
    <r>
      <rPr>
        <sz val="9"/>
        <color rgb="FF231F20"/>
        <rFont val="Titillium Web"/>
      </rPr>
      <t>vanaf hoogte 200 cm is kast 100 nodig.</t>
    </r>
  </si>
  <si>
    <r>
      <rPr>
        <sz val="9"/>
        <color rgb="FF231F20"/>
        <rFont val="Titillium Web"/>
      </rPr>
      <t>LT 50 32 rpm</t>
    </r>
  </si>
  <si>
    <r>
      <rPr>
        <sz val="9"/>
        <color rgb="FF231F20"/>
        <rFont val="Titillium Web"/>
      </rPr>
      <t>Sunilus io 17 rpm</t>
    </r>
  </si>
  <si>
    <r>
      <rPr>
        <sz val="9"/>
        <color rgb="FF231F20"/>
        <rFont val="Titillium Web"/>
      </rPr>
      <t>Maestria io 32 rpm</t>
    </r>
  </si>
  <si>
    <r>
      <rPr>
        <sz val="9"/>
        <color rgb="FF231F20"/>
        <rFont val="Titillium Web"/>
      </rPr>
      <t>LHTF geleider per meter</t>
    </r>
  </si>
  <si>
    <r>
      <rPr>
        <b/>
        <sz val="10"/>
        <color rgb="FFFFFFFF"/>
        <rFont val="Titillium Web"/>
      </rPr>
      <t>Sunilus io motor  (17rpm)</t>
    </r>
  </si>
  <si>
    <r>
      <rPr>
        <b/>
        <vertAlign val="subscript"/>
        <sz val="9"/>
        <color rgb="FF231F20"/>
        <rFont val="Titillium Web"/>
      </rPr>
      <t xml:space="preserve">H         </t>
    </r>
    <r>
      <rPr>
        <b/>
        <sz val="9"/>
        <color rgb="FF231F20"/>
        <rFont val="Titillium Web"/>
      </rPr>
      <t>B</t>
    </r>
  </si>
  <si>
    <r>
      <rPr>
        <b/>
        <sz val="24"/>
        <color rgb="FF294974"/>
        <rFont val="Ubuntu"/>
        <family val="2"/>
      </rPr>
      <t xml:space="preserve">SunZip Design 105 </t>
    </r>
    <r>
      <rPr>
        <b/>
        <sz val="15"/>
        <color rgb="FF294974"/>
        <rFont val="Ubuntu"/>
        <family val="2"/>
      </rPr>
      <t>(Sunilus io 17 rpm)</t>
    </r>
  </si>
  <si>
    <r>
      <rPr>
        <sz val="9"/>
        <color rgb="FF231F20"/>
        <rFont val="Titillium Web"/>
      </rPr>
      <t>Solaruitvoering met 1-kanaals handzender (meerprijs)</t>
    </r>
  </si>
  <si>
    <r>
      <rPr>
        <sz val="9"/>
        <color rgb="FF231F20"/>
        <rFont val="Titillium Web"/>
      </rPr>
      <t>15-kanaals handzender t.b.v. solaruitvoering</t>
    </r>
  </si>
  <si>
    <r>
      <rPr>
        <sz val="9"/>
        <color rgb="FF231F20"/>
        <rFont val="Titillium Web"/>
      </rPr>
      <t>Smarthub t.b.v. solaruitvoering</t>
    </r>
  </si>
  <si>
    <r>
      <rPr>
        <sz val="9"/>
        <color rgb="FF231F20"/>
        <rFont val="Titillium Web"/>
      </rPr>
      <t>Minderprijs LT 50 32 rpm -/-</t>
    </r>
  </si>
  <si>
    <r>
      <rPr>
        <sz val="9"/>
        <color rgb="FF231F20"/>
        <rFont val="Titillium Web"/>
      </rPr>
      <t>Wandmontagebeugel</t>
    </r>
  </si>
  <si>
    <r>
      <rPr>
        <b/>
        <sz val="24"/>
        <color rgb="FF294974"/>
        <rFont val="Ubuntu"/>
        <family val="2"/>
      </rPr>
      <t>Zip Square 130 (Max)</t>
    </r>
  </si>
  <si>
    <r>
      <rPr>
        <b/>
        <vertAlign val="subscript"/>
        <sz val="9"/>
        <color rgb="FF231F20"/>
        <rFont val="Titillium Web"/>
      </rPr>
      <t xml:space="preserve">H          </t>
    </r>
    <r>
      <rPr>
        <b/>
        <sz val="9"/>
        <color rgb="FF231F20"/>
        <rFont val="Titillium Web"/>
      </rPr>
      <t>B</t>
    </r>
  </si>
  <si>
    <r>
      <rPr>
        <b/>
        <vertAlign val="subscript"/>
        <sz val="9"/>
        <color rgb="FF231F20"/>
        <rFont val="Titillium Web"/>
      </rPr>
      <t xml:space="preserve">H        </t>
    </r>
    <r>
      <rPr>
        <b/>
        <sz val="9"/>
        <color rgb="FF231F20"/>
        <rFont val="Titillium Web"/>
      </rPr>
      <t>B</t>
    </r>
  </si>
  <si>
    <r>
      <rPr>
        <b/>
        <sz val="24"/>
        <color rgb="FF294974"/>
        <rFont val="Ubuntu"/>
        <family val="2"/>
      </rPr>
      <t>Opties en accessoires Screens</t>
    </r>
  </si>
  <si>
    <r>
      <rPr>
        <b/>
        <sz val="10"/>
        <color rgb="FFFFFFFF"/>
        <rFont val="Titillium Web"/>
      </rPr>
      <t>Meerprijzen bediening t.o.v. draaistangbediening</t>
    </r>
  </si>
  <si>
    <r>
      <rPr>
        <b/>
        <sz val="10"/>
        <color rgb="FFFFFFFF"/>
        <rFont val="Titillium Web"/>
      </rPr>
      <t>Hirschmann spatwaterdicht</t>
    </r>
  </si>
  <si>
    <r>
      <rPr>
        <sz val="9"/>
        <color rgb="FF231F20"/>
        <rFont val="Titillium Web"/>
      </rPr>
      <t>Aangelast motordeel  LT/WT (30 cm snoer)</t>
    </r>
  </si>
  <si>
    <r>
      <rPr>
        <sz val="9"/>
        <color rgb="FF231F20"/>
        <rFont val="Titillium Web"/>
      </rPr>
      <t>Draaistangbediening binnen</t>
    </r>
  </si>
  <si>
    <r>
      <rPr>
        <sz val="9"/>
        <color rgb="FF231F20"/>
        <rFont val="Titillium Web"/>
      </rPr>
      <t>Aangelast motordeel io (30 cm snoer)</t>
    </r>
  </si>
  <si>
    <r>
      <rPr>
        <sz val="9"/>
        <color rgb="FF231F20"/>
        <rFont val="Titillium Web"/>
      </rPr>
      <t>Motordeel STAK3</t>
    </r>
  </si>
  <si>
    <r>
      <rPr>
        <b/>
        <sz val="10"/>
        <color rgb="FFFFFFFF"/>
        <rFont val="Titillium Web"/>
      </rPr>
      <t>Motoren t.o.v. standaard motoren</t>
    </r>
  </si>
  <si>
    <r>
      <rPr>
        <sz val="9"/>
        <color rgb="FF231F20"/>
        <rFont val="Titillium Web"/>
      </rPr>
      <t>Hirschmannstekker contradeel installatiedeel 300 cm snoer</t>
    </r>
  </si>
  <si>
    <r>
      <rPr>
        <sz val="9"/>
        <color rgb="FF231F20"/>
        <rFont val="Titillium Web"/>
      </rPr>
      <t>Aries LS 40 16 rpm (installatie zonder randaarde)*</t>
    </r>
  </si>
  <si>
    <r>
      <rPr>
        <sz val="9"/>
        <color rgb="FF231F20"/>
        <rFont val="Titillium Web"/>
      </rPr>
      <t>Hirschmannstekker contradeel installatiedeel 500 cm snoer</t>
    </r>
  </si>
  <si>
    <r>
      <rPr>
        <sz val="9"/>
        <color rgb="FF231F20"/>
        <rFont val="Titillium Web"/>
      </rPr>
      <t>Sunea io 40 16 rpm*</t>
    </r>
  </si>
  <si>
    <r>
      <rPr>
        <sz val="9"/>
        <color rgb="FF231F20"/>
        <rFont val="Titillium Web"/>
      </rPr>
      <t>Hirschmannstekker installatiedeel</t>
    </r>
  </si>
  <si>
    <r>
      <rPr>
        <b/>
        <sz val="10"/>
        <color rgb="FFFFFFFF"/>
        <rFont val="Titillium Web"/>
      </rPr>
      <t>Zwarte UV-bestendige motorkabels</t>
    </r>
  </si>
  <si>
    <r>
      <rPr>
        <sz val="9"/>
        <color rgb="FF231F20"/>
        <rFont val="Titillium Web"/>
      </rPr>
      <t>Zwart kabelsnoer LT/ io 3 meter</t>
    </r>
  </si>
  <si>
    <r>
      <rPr>
        <sz val="9"/>
        <color rgb="FF231F20"/>
        <rFont val="Titillium Web"/>
      </rPr>
      <t>Maestria WT 17 rpm</t>
    </r>
  </si>
  <si>
    <r>
      <rPr>
        <sz val="9"/>
        <color rgb="FF231F20"/>
        <rFont val="Titillium Web"/>
      </rPr>
      <t>Zwart kabelsnoer LT/ io 5 meter</t>
    </r>
  </si>
  <si>
    <r>
      <rPr>
        <sz val="9"/>
        <color rgb="FF231F20"/>
        <rFont val="Titillium Web"/>
      </rPr>
      <t>Zwart kabelsnoer LT 10 meter</t>
    </r>
  </si>
  <si>
    <r>
      <rPr>
        <b/>
        <sz val="10"/>
        <color rgb="FFFFFFFF"/>
        <rFont val="Titillium Web"/>
      </rPr>
      <t>Bedieningen</t>
    </r>
  </si>
  <si>
    <r>
      <rPr>
        <sz val="9"/>
        <color rgb="FF231F20"/>
        <rFont val="Titillium Web"/>
      </rPr>
      <t>Situo 1 io handzender 1-kanaals</t>
    </r>
  </si>
  <si>
    <r>
      <rPr>
        <b/>
        <sz val="10"/>
        <color rgb="FFFFFFFF"/>
        <rFont val="Titillium Web"/>
      </rPr>
      <t>Witte motorkabels</t>
    </r>
  </si>
  <si>
    <r>
      <rPr>
        <sz val="9"/>
        <color rgb="FF231F20"/>
        <rFont val="Titillium Web"/>
      </rPr>
      <t>Situo 5 io handzender 5-kanaals</t>
    </r>
  </si>
  <si>
    <r>
      <rPr>
        <sz val="9"/>
        <color rgb="FF231F20"/>
        <rFont val="Titillium Web"/>
      </rPr>
      <t>3 meter kabelsnoer LT</t>
    </r>
  </si>
  <si>
    <r>
      <rPr>
        <b/>
        <sz val="10"/>
        <color rgb="FFFFFFFF"/>
        <rFont val="Titillium Web"/>
      </rPr>
      <t>Meerprijzen profielen</t>
    </r>
  </si>
  <si>
    <r>
      <rPr>
        <sz val="9"/>
        <color rgb="FF231F20"/>
        <rFont val="Titillium Web"/>
      </rPr>
      <t>Geleider met flens per meter</t>
    </r>
  </si>
  <si>
    <r>
      <rPr>
        <sz val="9"/>
        <color rgb="FF231F20"/>
        <rFont val="Titillium Web"/>
      </rPr>
      <t>GM-ZIP geleider</t>
    </r>
  </si>
  <si>
    <r>
      <rPr>
        <b/>
        <sz val="10"/>
        <color rgb="FFFFFFFF"/>
        <rFont val="Titillium Web"/>
      </rPr>
      <t>Koppelen Screen Square 70/85/100</t>
    </r>
  </si>
  <si>
    <r>
      <rPr>
        <b/>
        <sz val="9"/>
        <color rgb="FF231F20"/>
        <rFont val="Titillium Web"/>
      </rPr>
      <t xml:space="preserve">Stap 1: </t>
    </r>
    <r>
      <rPr>
        <sz val="9"/>
        <color rgb="FF231F20"/>
        <rFont val="Titillium Web"/>
      </rPr>
      <t>Calculeer 2 screens met standaard motor</t>
    </r>
  </si>
  <si>
    <r>
      <rPr>
        <b/>
        <sz val="9"/>
        <color rgb="FF231F20"/>
        <rFont val="Titillium Web"/>
      </rPr>
      <t xml:space="preserve">Stap 3: </t>
    </r>
    <r>
      <rPr>
        <sz val="9"/>
        <color rgb="FF231F20"/>
        <rFont val="Titillium Web"/>
      </rPr>
      <t xml:space="preserve">Bereken de eventuele meerprijs
</t>
    </r>
    <r>
      <rPr>
        <sz val="9"/>
        <color rgb="FF231F20"/>
        <rFont val="Titillium Web"/>
      </rPr>
      <t>van 1 optionele motor</t>
    </r>
  </si>
  <si>
    <r>
      <rPr>
        <b/>
        <sz val="9"/>
        <color rgb="FF231F20"/>
        <rFont val="Titillium Web"/>
      </rPr>
      <t xml:space="preserve">* Let op: </t>
    </r>
    <r>
      <rPr>
        <sz val="9"/>
        <color rgb="FF231F20"/>
        <rFont val="Titillium Web"/>
      </rPr>
      <t>Square 70 alleen 40 motor toepasbaar</t>
    </r>
  </si>
  <si>
    <r>
      <rPr>
        <b/>
        <sz val="10"/>
        <color rgb="FFFFFFFF"/>
        <rFont val="Titillium Web"/>
      </rPr>
      <t>Profielen per meter     Standaard kleur     Overige RAL</t>
    </r>
  </si>
  <si>
    <r>
      <rPr>
        <b/>
        <sz val="10"/>
        <color rgb="FFFFFFFF"/>
        <rFont val="Titillium Web"/>
      </rPr>
      <t>Solar accessoires</t>
    </r>
  </si>
  <si>
    <r>
      <rPr>
        <sz val="9"/>
        <color rgb="FF231F20"/>
        <rFont val="Titillium Web"/>
      </rPr>
      <t>Hoekprofiel 30x20x2</t>
    </r>
  </si>
  <si>
    <r>
      <rPr>
        <sz val="9"/>
        <color rgb="FF231F20"/>
        <rFont val="Titillium Web"/>
      </rPr>
      <t>Hoekprofiel 35x15x2</t>
    </r>
  </si>
  <si>
    <r>
      <rPr>
        <sz val="9"/>
        <color rgb="FF231F20"/>
        <rFont val="Titillium Web"/>
      </rPr>
      <t>Verlengkabel solar met stekkers 100 cm</t>
    </r>
  </si>
  <si>
    <r>
      <rPr>
        <sz val="9"/>
        <color rgb="FF231F20"/>
        <rFont val="Titillium Web"/>
      </rPr>
      <t>Hoekprofiel 40x20x2</t>
    </r>
  </si>
  <si>
    <r>
      <rPr>
        <sz val="9"/>
        <color rgb="FF231F20"/>
        <rFont val="Titillium Web"/>
      </rPr>
      <t>Verlengkabel solar met stekkers 200 cm</t>
    </r>
  </si>
  <si>
    <r>
      <rPr>
        <sz val="9"/>
        <color rgb="FF231F20"/>
        <rFont val="Titillium Web"/>
      </rPr>
      <t>Hoekprofiel 50x20x2</t>
    </r>
  </si>
  <si>
    <r>
      <rPr>
        <sz val="9"/>
        <color rgb="FF231F20"/>
        <rFont val="Titillium Web"/>
      </rPr>
      <t>Verlengkabel solar met stekkers 500 cm</t>
    </r>
  </si>
  <si>
    <r>
      <rPr>
        <sz val="9"/>
        <color rgb="FF231F20"/>
        <rFont val="Titillium Web"/>
      </rPr>
      <t>Hoekprofiel 60x20x2</t>
    </r>
  </si>
  <si>
    <r>
      <rPr>
        <sz val="9"/>
        <color rgb="FF231F20"/>
        <rFont val="Titillium Web"/>
      </rPr>
      <t>Adapter solar Brel</t>
    </r>
  </si>
  <si>
    <r>
      <rPr>
        <sz val="9"/>
        <color rgb="FF231F20"/>
        <rFont val="Titillium Web"/>
      </rPr>
      <t>Hoekprofiel 70x20x2</t>
    </r>
  </si>
  <si>
    <r>
      <rPr>
        <sz val="9"/>
        <color rgb="FF231F20"/>
        <rFont val="Titillium Web"/>
      </rPr>
      <t>15-kanaals wandzender t.b.v. solaruitvoering</t>
    </r>
  </si>
  <si>
    <r>
      <rPr>
        <sz val="9"/>
        <color rgb="FF231F20"/>
        <rFont val="Titillium Web"/>
      </rPr>
      <t>Hoekprofiel 80x20x2</t>
    </r>
  </si>
  <si>
    <r>
      <rPr>
        <sz val="9"/>
        <color rgb="FF231F20"/>
        <rFont val="Titillium Web"/>
      </rPr>
      <t>Hoekprofiel 100x20x2</t>
    </r>
  </si>
  <si>
    <r>
      <rPr>
        <sz val="9"/>
        <color rgb="FF231F20"/>
        <rFont val="Titillium Web"/>
      </rPr>
      <t>Hoekprofiel 120x20x20</t>
    </r>
  </si>
  <si>
    <r>
      <rPr>
        <sz val="9"/>
        <color rgb="FF231F20"/>
        <rFont val="Titillium Web"/>
      </rPr>
      <t>Koker 40 x 40 x 2</t>
    </r>
  </si>
  <si>
    <r>
      <rPr>
        <sz val="9"/>
        <color rgb="FF231F20"/>
        <rFont val="Titillium Web"/>
      </rPr>
      <t>Koker 80 x 40 x 4</t>
    </r>
  </si>
  <si>
    <r>
      <rPr>
        <sz val="9"/>
        <color rgb="FF231F20"/>
        <rFont val="Titillium Web"/>
      </rPr>
      <t>Uitvulprofielen 10 mm</t>
    </r>
  </si>
  <si>
    <r>
      <rPr>
        <b/>
        <sz val="10"/>
        <color rgb="FFFFFFFF"/>
        <rFont val="Titillium Web"/>
      </rPr>
      <t>Uitvulbusjes per 100 stuks</t>
    </r>
  </si>
  <si>
    <r>
      <rPr>
        <sz val="9"/>
        <color rgb="FF231F20"/>
        <rFont val="Titillium Web"/>
      </rPr>
      <t>Uitvulbusjes 5 mm, zwart, grijs, crèmewit of wit</t>
    </r>
  </si>
  <si>
    <r>
      <rPr>
        <sz val="9"/>
        <color rgb="FF231F20"/>
        <rFont val="Titillium Web"/>
      </rPr>
      <t>Uitvulbusjes 10 mm, zwart, grijs, crèmewit of wit</t>
    </r>
  </si>
  <si>
    <r>
      <rPr>
        <b/>
        <sz val="10"/>
        <color rgb="FFFFFFFF"/>
        <rFont val="Titillium Web"/>
      </rPr>
      <t>Screens minimale breedte per bediening in mm</t>
    </r>
  </si>
  <si>
    <r>
      <rPr>
        <b/>
        <sz val="10"/>
        <color rgb="FFFFFFFF"/>
        <rFont val="Titillium Web"/>
      </rPr>
      <t>ZipScreens minimale breedte per bediening in mm</t>
    </r>
  </si>
  <si>
    <r>
      <rPr>
        <b/>
        <sz val="9"/>
        <color rgb="FF231F20"/>
        <rFont val="Titillium Web"/>
      </rPr>
      <t>hand bed.</t>
    </r>
  </si>
  <si>
    <r>
      <rPr>
        <b/>
        <sz val="9"/>
        <color rgb="FF231F20"/>
        <rFont val="Titillium Web"/>
      </rPr>
      <t>Aries ls 40</t>
    </r>
  </si>
  <si>
    <r>
      <rPr>
        <b/>
        <sz val="9"/>
        <color rgb="FF231F20"/>
        <rFont val="Titillium Web"/>
      </rPr>
      <t>Screen- job ls 40</t>
    </r>
  </si>
  <si>
    <r>
      <rPr>
        <b/>
        <sz val="9"/>
        <color rgb="FF231F20"/>
        <rFont val="Titillium Web"/>
      </rPr>
      <t>Sunea io 40</t>
    </r>
  </si>
  <si>
    <r>
      <rPr>
        <b/>
        <sz val="9"/>
        <color rgb="FF231F20"/>
        <rFont val="Titillium Web"/>
      </rPr>
      <t xml:space="preserve">LT 50
</t>
    </r>
    <r>
      <rPr>
        <b/>
        <sz val="9"/>
        <color rgb="FF231F20"/>
        <rFont val="Titillium Web"/>
      </rPr>
      <t>12 rpm</t>
    </r>
  </si>
  <si>
    <r>
      <rPr>
        <b/>
        <sz val="9"/>
        <color rgb="FF231F20"/>
        <rFont val="Titillium Web"/>
      </rPr>
      <t>io 50</t>
    </r>
  </si>
  <si>
    <r>
      <rPr>
        <b/>
        <sz val="9"/>
        <color rgb="FF231F20"/>
        <rFont val="Titillium Web"/>
      </rPr>
      <t>Square 70</t>
    </r>
  </si>
  <si>
    <r>
      <rPr>
        <sz val="9"/>
        <color rgb="FF231F20"/>
        <rFont val="Titillium Web"/>
      </rPr>
      <t>n.v.t.</t>
    </r>
  </si>
  <si>
    <r>
      <rPr>
        <b/>
        <sz val="9"/>
        <color rgb="FF231F20"/>
        <rFont val="Titillium Web"/>
      </rPr>
      <t>Zip Square 85/100</t>
    </r>
  </si>
  <si>
    <r>
      <rPr>
        <b/>
        <sz val="9"/>
        <color rgb="FF231F20"/>
        <rFont val="Titillium Web"/>
      </rPr>
      <t>Square 85/100</t>
    </r>
  </si>
  <si>
    <r>
      <rPr>
        <b/>
        <sz val="9"/>
        <color rgb="FF231F20"/>
        <rFont val="Titillium Web"/>
      </rPr>
      <t>SunZip Design 105</t>
    </r>
  </si>
  <si>
    <r>
      <rPr>
        <b/>
        <sz val="9"/>
        <color rgb="FF231F20"/>
        <rFont val="Titillium Web"/>
      </rPr>
      <t>Carré 85/100</t>
    </r>
  </si>
  <si>
    <r>
      <rPr>
        <b/>
        <sz val="9"/>
        <color rgb="FF231F20"/>
        <rFont val="Titillium Web"/>
      </rPr>
      <t>Zip Square 130 max</t>
    </r>
  </si>
  <si>
    <r>
      <rPr>
        <b/>
        <sz val="9"/>
        <color rgb="FF231F20"/>
        <rFont val="Titillium Web"/>
      </rPr>
      <t xml:space="preserve">SunZip Design 105: </t>
    </r>
    <r>
      <rPr>
        <sz val="9"/>
        <color rgb="FF231F20"/>
        <rFont val="Titillium Web"/>
      </rPr>
      <t>Solar motor min. breedte 850 mm</t>
    </r>
  </si>
  <si>
    <r>
      <rPr>
        <b/>
        <sz val="24"/>
        <color rgb="FF294974"/>
        <rFont val="Ubuntu"/>
        <family val="2"/>
      </rPr>
      <t>Screendoek</t>
    </r>
  </si>
  <si>
    <r>
      <rPr>
        <b/>
        <vertAlign val="subscript"/>
        <sz val="10"/>
        <color rgb="FFFFFFFF"/>
        <rFont val="Titillium Web"/>
      </rPr>
      <t xml:space="preserve">Collectie                                                                                                                                                               </t>
    </r>
    <r>
      <rPr>
        <b/>
        <sz val="10"/>
        <color rgb="FFFFFFFF"/>
        <rFont val="Titillium Web"/>
      </rPr>
      <t xml:space="preserve">Meerprijs         Prijs bij
</t>
    </r>
    <r>
      <rPr>
        <b/>
        <sz val="10"/>
        <color rgb="FFFFFFFF"/>
        <rFont val="Titillium Web"/>
      </rPr>
      <t>t.o.v. screens    los doek</t>
    </r>
  </si>
  <si>
    <r>
      <rPr>
        <b/>
        <sz val="9"/>
        <color rgb="FF231F20"/>
        <rFont val="Titillium Web"/>
      </rPr>
      <t>Sergé 525 gr/m</t>
    </r>
    <r>
      <rPr>
        <b/>
        <vertAlign val="superscript"/>
        <sz val="5"/>
        <color rgb="FF231F20"/>
        <rFont val="Titillium Web"/>
      </rPr>
      <t xml:space="preserve">2  </t>
    </r>
    <r>
      <rPr>
        <b/>
        <sz val="9"/>
        <color rgb="FF231F20"/>
        <rFont val="Titillium Web"/>
      </rPr>
      <t>standaard collectie</t>
    </r>
  </si>
  <si>
    <r>
      <rPr>
        <sz val="9"/>
        <color rgb="FF231F20"/>
        <rFont val="Titillium Web"/>
      </rPr>
      <t>per m²</t>
    </r>
  </si>
  <si>
    <r>
      <rPr>
        <b/>
        <sz val="9"/>
        <color rgb="FF231F20"/>
        <rFont val="Titillium Web"/>
      </rPr>
      <t>Sergé 525 gr/m</t>
    </r>
    <r>
      <rPr>
        <b/>
        <vertAlign val="superscript"/>
        <sz val="5"/>
        <color rgb="FF231F20"/>
        <rFont val="Titillium Web"/>
      </rPr>
      <t xml:space="preserve">2  </t>
    </r>
    <r>
      <rPr>
        <b/>
        <sz val="9"/>
        <color rgb="FF231F20"/>
        <rFont val="Titillium Web"/>
      </rPr>
      <t>buiten standaard Sunmaster collectie</t>
    </r>
  </si>
  <si>
    <r>
      <rPr>
        <b/>
        <sz val="9"/>
        <color rgb="FF231F20"/>
        <rFont val="Titillium Web"/>
      </rPr>
      <t>Sergé 1% doorzichtfactor*</t>
    </r>
  </si>
  <si>
    <r>
      <rPr>
        <b/>
        <sz val="9"/>
        <color rgb="FF231F20"/>
        <rFont val="Titillium Web"/>
      </rPr>
      <t>Soltis 92</t>
    </r>
  </si>
  <si>
    <r>
      <rPr>
        <b/>
        <sz val="9"/>
        <color rgb="FF231F20"/>
        <rFont val="Titillium Web"/>
      </rPr>
      <t>Soltis B92 verduisterend (niet mogelijk in combinatie met rits)</t>
    </r>
  </si>
  <si>
    <r>
      <rPr>
        <b/>
        <sz val="9"/>
        <color rgb="FF231F20"/>
        <rFont val="Titillium Web"/>
      </rPr>
      <t>Soltis 93</t>
    </r>
  </si>
  <si>
    <r>
      <rPr>
        <b/>
        <sz val="9"/>
        <color rgb="FFFFFFFF"/>
        <rFont val="Titillium Web"/>
      </rPr>
      <t>Toeslagen</t>
    </r>
  </si>
  <si>
    <r>
      <rPr>
        <b/>
        <sz val="9"/>
        <color rgb="FF231F20"/>
        <rFont val="Titillium Web"/>
      </rPr>
      <t>Toeslag voor het lassen van een horizontale lasnaad</t>
    </r>
  </si>
  <si>
    <r>
      <rPr>
        <sz val="9"/>
        <color rgb="FF231F20"/>
        <rFont val="Titillium Web"/>
      </rPr>
      <t>per meter</t>
    </r>
  </si>
  <si>
    <r>
      <rPr>
        <b/>
        <sz val="9"/>
        <color rgb="FF231F20"/>
        <rFont val="Titillium Web"/>
      </rPr>
      <t>Toeslag uitvoering met rits</t>
    </r>
  </si>
  <si>
    <r>
      <rPr>
        <sz val="9"/>
        <color rgb="FF231F20"/>
        <rFont val="Titillium Web"/>
      </rPr>
      <t>per doek</t>
    </r>
  </si>
  <si>
    <r>
      <rPr>
        <b/>
        <sz val="9"/>
        <color rgb="FF231F20"/>
        <rFont val="Titillium Web"/>
      </rPr>
      <t>Toeslag afwijkende gelaste zoom</t>
    </r>
  </si>
  <si>
    <r>
      <rPr>
        <b/>
        <sz val="9"/>
        <color rgb="FF231F20"/>
        <rFont val="Titillium Web"/>
      </rPr>
      <t>Toeslag vertikale lasband zijkanten screendoek</t>
    </r>
  </si>
  <si>
    <r>
      <rPr>
        <b/>
        <sz val="9"/>
        <color rgb="FF231F20"/>
        <rFont val="Titillium Web"/>
      </rPr>
      <t>Inzetten tourniquet of tenax</t>
    </r>
  </si>
  <si>
    <r>
      <rPr>
        <sz val="9"/>
        <color rgb="FF231F20"/>
        <rFont val="Titillium Web"/>
      </rPr>
      <t>per stuk</t>
    </r>
  </si>
  <si>
    <r>
      <rPr>
        <b/>
        <sz val="9"/>
        <color rgb="FF231F20"/>
        <rFont val="Titillium Web"/>
      </rPr>
      <t>Speciale modellen / trapezium</t>
    </r>
  </si>
  <si>
    <r>
      <rPr>
        <b/>
        <sz val="9"/>
        <color rgb="FF231F20"/>
        <rFont val="Titillium Web"/>
      </rPr>
      <t>Coupages (rolbreedte)</t>
    </r>
  </si>
  <si>
    <r>
      <rPr>
        <sz val="9"/>
        <color rgb="FF231F20"/>
        <rFont val="Titillium Web"/>
      </rPr>
      <t>per m²*</t>
    </r>
  </si>
  <si>
    <r>
      <rPr>
        <b/>
        <sz val="9"/>
        <color rgb="FF231F20"/>
        <rFont val="Titillium Web"/>
      </rPr>
      <t xml:space="preserve">Screendoek
</t>
    </r>
    <r>
      <rPr>
        <sz val="9"/>
        <color rgb="FF231F20"/>
        <rFont val="Titillium Web"/>
      </rPr>
      <t>Minimale prijs per los doek is altijd 1,4 m². Bij bestelling van losse confectie buiten de standaard collectie wordt onder een factuurbedrag lager dan € 500,- een extra toeslag berekend van € 25-.</t>
    </r>
  </si>
  <si>
    <r>
      <rPr>
        <b/>
        <sz val="24"/>
        <color rgb="FF294974"/>
        <rFont val="Ubuntu"/>
        <family val="2"/>
      </rPr>
      <t>SunBasic</t>
    </r>
  </si>
  <si>
    <r>
      <rPr>
        <sz val="9"/>
        <color rgb="FF231F20"/>
        <rFont val="Titillium Web"/>
      </rPr>
      <t>Draaistangbediening -/-</t>
    </r>
  </si>
  <si>
    <r>
      <rPr>
        <b/>
        <sz val="9"/>
        <color rgb="FF231F20"/>
        <rFont val="Titillium Web"/>
      </rPr>
      <t xml:space="preserve">(minimale breedte elektrisch 277 cm)
</t>
    </r>
    <r>
      <rPr>
        <b/>
        <sz val="9"/>
        <color rgb="FF231F20"/>
        <rFont val="Titillium Web"/>
      </rPr>
      <t>(minimale breedte oogwindwerk 280 cm)</t>
    </r>
  </si>
  <si>
    <r>
      <rPr>
        <b/>
        <sz val="9"/>
        <color rgb="FF231F20"/>
        <rFont val="Titillium Web"/>
      </rPr>
      <t xml:space="preserve">(minimale breedte elektrisch 327 cm)
</t>
    </r>
    <r>
      <rPr>
        <b/>
        <sz val="9"/>
        <color rgb="FF231F20"/>
        <rFont val="Titillium Web"/>
      </rPr>
      <t>(minimale breedte oogwindwerk 330 cm)</t>
    </r>
  </si>
  <si>
    <r>
      <rPr>
        <b/>
        <sz val="9"/>
        <color rgb="FF231F20"/>
        <rFont val="Titillium Web"/>
      </rPr>
      <t>Scherm</t>
    </r>
  </si>
  <si>
    <r>
      <rPr>
        <b/>
        <sz val="9"/>
        <color rgb="FF231F20"/>
        <rFont val="Titillium Web"/>
      </rPr>
      <t>Orea</t>
    </r>
  </si>
  <si>
    <r>
      <rPr>
        <b/>
        <sz val="9"/>
        <color rgb="FF231F20"/>
        <rFont val="Titillium Web"/>
      </rPr>
      <t>Sunea</t>
    </r>
  </si>
  <si>
    <r>
      <rPr>
        <b/>
        <sz val="9"/>
        <color rgb="FF231F20"/>
        <rFont val="Titillium Web"/>
      </rPr>
      <t>breedte</t>
    </r>
  </si>
  <si>
    <r>
      <rPr>
        <b/>
        <sz val="9"/>
        <color rgb="FF231F20"/>
        <rFont val="Titillium Web"/>
      </rPr>
      <t>WT</t>
    </r>
  </si>
  <si>
    <r>
      <rPr>
        <b/>
        <sz val="9"/>
        <color rgb="FF231F20"/>
        <rFont val="Titillium Web"/>
      </rPr>
      <t>IO</t>
    </r>
  </si>
  <si>
    <r>
      <rPr>
        <b/>
        <sz val="24"/>
        <color rgb="FF294974"/>
        <rFont val="Ubuntu"/>
        <family val="2"/>
      </rPr>
      <t>SunBasic Cassette</t>
    </r>
  </si>
  <si>
    <r>
      <rPr>
        <sz val="9"/>
        <color rgb="FF231F20"/>
        <rFont val="Titillium Web"/>
      </rPr>
      <t>Verlengde muursteun 50 cm per stuk</t>
    </r>
  </si>
  <si>
    <r>
      <rPr>
        <sz val="9"/>
        <color rgb="FF231F20"/>
        <rFont val="Titillium Web"/>
      </rPr>
      <t>Verlengde muursteun 80 cm per stuk</t>
    </r>
  </si>
  <si>
    <r>
      <rPr>
        <b/>
        <sz val="24"/>
        <color rgb="FF294974"/>
        <rFont val="Ubuntu"/>
        <family val="2"/>
      </rPr>
      <t>SunCar</t>
    </r>
  </si>
  <si>
    <r>
      <rPr>
        <b/>
        <sz val="13"/>
        <color rgb="FFFFFFFF"/>
        <rFont val="Titillium Web"/>
      </rPr>
      <t>Uitval 250 cm                                              Uitval 300 cm</t>
    </r>
  </si>
  <si>
    <r>
      <rPr>
        <b/>
        <sz val="9"/>
        <color rgb="FF231F20"/>
        <rFont val="Titillium Web"/>
      </rPr>
      <t>(werkelijk 255 cm) (minimale breedte 269 cm)</t>
    </r>
  </si>
  <si>
    <r>
      <rPr>
        <b/>
        <sz val="9"/>
        <color rgb="FFFFFFFF"/>
        <rFont val="Titillium Web"/>
      </rPr>
      <t>Meerprijs</t>
    </r>
  </si>
  <si>
    <r>
      <rPr>
        <b/>
        <sz val="9"/>
        <color rgb="FFFFFFFF"/>
        <rFont val="Titillium Web"/>
      </rPr>
      <t>Trend</t>
    </r>
  </si>
  <si>
    <r>
      <rPr>
        <b/>
        <sz val="9"/>
        <color rgb="FFFFFFFF"/>
        <rFont val="Titillium Web"/>
      </rPr>
      <t>RAL</t>
    </r>
  </si>
  <si>
    <r>
      <rPr>
        <b/>
        <sz val="9"/>
        <color rgb="FFFFFFFF"/>
        <rFont val="Titillium Web"/>
      </rPr>
      <t>Minderprijzen t.o.v. 250 cm</t>
    </r>
  </si>
  <si>
    <r>
      <rPr>
        <sz val="9"/>
        <color rgb="FF231F20"/>
        <rFont val="Titillium Web"/>
      </rPr>
      <t>150 cm uitval* -/-</t>
    </r>
  </si>
  <si>
    <r>
      <rPr>
        <sz val="9"/>
        <color rgb="FF231F20"/>
        <rFont val="Titillium Web"/>
      </rPr>
      <t>200 cm uitval* -/-</t>
    </r>
  </si>
  <si>
    <r>
      <rPr>
        <b/>
        <sz val="24"/>
        <color rgb="FF294974"/>
        <rFont val="Ubuntu"/>
        <family val="2"/>
      </rPr>
      <t>SunEye</t>
    </r>
  </si>
  <si>
    <r>
      <rPr>
        <sz val="9"/>
        <color rgb="FF231F20"/>
        <rFont val="Titillium Web"/>
      </rPr>
      <t>Brede steun per stuk</t>
    </r>
  </si>
  <si>
    <r>
      <rPr>
        <b/>
        <sz val="9"/>
        <color rgb="FFFFFFFF"/>
        <rFont val="Titillium Web"/>
      </rPr>
      <t>Minderprijzen</t>
    </r>
  </si>
  <si>
    <r>
      <rPr>
        <sz val="9"/>
        <color rgb="FF231F20"/>
        <rFont val="Titillium Web"/>
      </rPr>
      <t>150 cm uitval -/-</t>
    </r>
  </si>
  <si>
    <r>
      <rPr>
        <sz val="9"/>
        <color rgb="FF231F20"/>
        <rFont val="Titillium Web"/>
      </rPr>
      <t>200 cm uitval -/-</t>
    </r>
  </si>
  <si>
    <r>
      <rPr>
        <sz val="8"/>
        <color rgb="FF231F20"/>
        <rFont val="Titillium Web"/>
      </rPr>
      <t>* = berekening minimale breedte = uitval + 19 cm.</t>
    </r>
  </si>
  <si>
    <r>
      <rPr>
        <b/>
        <sz val="24"/>
        <color rgb="FF294974"/>
        <rFont val="Ubuntu"/>
        <family val="2"/>
      </rPr>
      <t>SunEye XL</t>
    </r>
  </si>
  <si>
    <r>
      <rPr>
        <b/>
        <sz val="9"/>
        <color rgb="FF231F20"/>
        <rFont val="Titillium Web"/>
      </rPr>
      <t>(werkelijk 245 cm) (minimale breedte 299 cm)</t>
    </r>
  </si>
  <si>
    <r>
      <rPr>
        <b/>
        <sz val="9"/>
        <color rgb="FF231F20"/>
        <rFont val="Titillium Web"/>
      </rPr>
      <t>(werkelijk 295 cm) (minimale breedte 349 cm)</t>
    </r>
  </si>
  <si>
    <r>
      <rPr>
        <b/>
        <sz val="9"/>
        <color rgb="FF231F20"/>
        <rFont val="Titillium Web"/>
      </rPr>
      <t>(werkelijk 345 cm) (minimale breedte 401 cm)</t>
    </r>
  </si>
  <si>
    <r>
      <rPr>
        <sz val="9"/>
        <color rgb="FF231F20"/>
        <rFont val="Titillium Web"/>
      </rPr>
      <t>Extra muursteun per stuk</t>
    </r>
  </si>
  <si>
    <r>
      <rPr>
        <sz val="9"/>
        <color rgb="FF231F20"/>
        <rFont val="Titillium Web"/>
      </rPr>
      <t>Extra plafondsteun per stuk</t>
    </r>
  </si>
  <si>
    <r>
      <rPr>
        <b/>
        <sz val="24"/>
        <color rgb="FF294974"/>
        <rFont val="Ubuntu"/>
        <family val="2"/>
      </rPr>
      <t>Opties en accessoires knikarmen</t>
    </r>
  </si>
  <si>
    <r>
      <rPr>
        <b/>
        <sz val="10"/>
        <color rgb="FFFFFFFF"/>
        <rFont val="Titillium Web"/>
      </rPr>
      <t>Meerprijzen montage opties</t>
    </r>
  </si>
  <si>
    <r>
      <rPr>
        <sz val="9"/>
        <color rgb="FF231F20"/>
        <rFont val="Titillium Web"/>
      </rPr>
      <t>Hoeklijn 100 x 64 x 8 (TNA/9001) per m</t>
    </r>
    <r>
      <rPr>
        <vertAlign val="superscript"/>
        <sz val="5"/>
        <color rgb="FF231F20"/>
        <rFont val="Titillium Web"/>
      </rPr>
      <t>1</t>
    </r>
    <r>
      <rPr>
        <sz val="9"/>
        <color rgb="FF231F20"/>
        <rFont val="Titillium Web"/>
      </rPr>
      <t>*</t>
    </r>
  </si>
  <si>
    <r>
      <rPr>
        <sz val="9"/>
        <color rgb="FF231F20"/>
        <rFont val="Titillium Web"/>
      </rPr>
      <t>Hoeklijn 100 x 64 x 8 (moffel) per m</t>
    </r>
    <r>
      <rPr>
        <vertAlign val="superscript"/>
        <sz val="5"/>
        <color rgb="FF231F20"/>
        <rFont val="Titillium Web"/>
      </rPr>
      <t>1</t>
    </r>
    <r>
      <rPr>
        <sz val="9"/>
        <color rgb="FF231F20"/>
        <rFont val="Titillium Web"/>
      </rPr>
      <t>*</t>
    </r>
  </si>
  <si>
    <r>
      <rPr>
        <sz val="8"/>
        <color rgb="FF231F20"/>
        <rFont val="Titillium Web"/>
      </rPr>
      <t>* Minimale afname 1 m</t>
    </r>
    <r>
      <rPr>
        <vertAlign val="superscript"/>
        <sz val="4.5"/>
        <color rgb="FF231F20"/>
        <rFont val="Titillium Web"/>
      </rPr>
      <t>2</t>
    </r>
  </si>
  <si>
    <r>
      <rPr>
        <b/>
        <sz val="10"/>
        <color rgb="FFFFFFFF"/>
        <rFont val="Titillium Web"/>
      </rPr>
      <t>Meerprijzen bediening</t>
    </r>
  </si>
  <si>
    <r>
      <rPr>
        <sz val="9"/>
        <color rgb="FF231F20"/>
        <rFont val="Titillium Web"/>
      </rPr>
      <t>Situo 1 io handzender 1-kanaal</t>
    </r>
  </si>
  <si>
    <r>
      <rPr>
        <b/>
        <sz val="24"/>
        <color rgb="FF294974"/>
        <rFont val="Ubuntu"/>
        <family val="2"/>
      </rPr>
      <t>Zonweringsdoek</t>
    </r>
  </si>
  <si>
    <r>
      <rPr>
        <sz val="9"/>
        <color rgb="FF231F20"/>
        <rFont val="Titillium Web"/>
      </rPr>
      <t>Gehele collectie</t>
    </r>
  </si>
  <si>
    <r>
      <rPr>
        <b/>
        <sz val="9"/>
        <color rgb="FF231F20"/>
        <rFont val="Titillium Web"/>
      </rPr>
      <t>Toeslag afwijkende zoom</t>
    </r>
  </si>
  <si>
    <r>
      <rPr>
        <b/>
        <sz val="9"/>
        <color rgb="FF231F20"/>
        <rFont val="Titillium Web"/>
      </rPr>
      <t>Inzetten tourniquets</t>
    </r>
  </si>
  <si>
    <r>
      <rPr>
        <b/>
        <sz val="9"/>
        <color rgb="FF231F20"/>
        <rFont val="Titillium Web"/>
      </rPr>
      <t>Inzetten tenaxen</t>
    </r>
  </si>
  <si>
    <r>
      <rPr>
        <b/>
        <sz val="24"/>
        <color rgb="FF294974"/>
        <rFont val="Ubuntu"/>
        <family val="2"/>
      </rPr>
      <t>RollBasic</t>
    </r>
  </si>
  <si>
    <r>
      <rPr>
        <b/>
        <sz val="10"/>
        <color rgb="FFFFFFFF"/>
        <rFont val="Titillium Web"/>
      </rPr>
      <t>Motor (Somfy ilmo)</t>
    </r>
  </si>
  <si>
    <r>
      <rPr>
        <b/>
        <vertAlign val="subscript"/>
        <sz val="9"/>
        <color rgb="FF231F20"/>
        <rFont val="Titillium Web"/>
      </rPr>
      <t xml:space="preserve">H              </t>
    </r>
    <r>
      <rPr>
        <b/>
        <sz val="9"/>
        <color rgb="FF231F20"/>
        <rFont val="Titillium Web"/>
      </rPr>
      <t>B</t>
    </r>
  </si>
  <si>
    <r>
      <rPr>
        <b/>
        <sz val="9"/>
        <color rgb="FF231F20"/>
        <rFont val="Titillium Web"/>
      </rPr>
      <t>Breedte</t>
    </r>
  </si>
  <si>
    <r>
      <rPr>
        <b/>
        <sz val="9"/>
        <color rgb="FF231F20"/>
        <rFont val="Titillium Web"/>
      </rPr>
      <t>Design onderlijst</t>
    </r>
  </si>
  <si>
    <r>
      <rPr>
        <b/>
        <sz val="9"/>
        <color rgb="FFFFFFFF"/>
        <rFont val="Titillium Web"/>
      </rPr>
      <t>Meerprijs trendkleur en/of ronde kast: 15%.</t>
    </r>
  </si>
  <si>
    <r>
      <rPr>
        <b/>
        <sz val="9"/>
        <color rgb="FFFFFFFF"/>
        <rFont val="Titillium Web"/>
      </rPr>
      <t>Meerprijs RAL-kleuren: 20%.</t>
    </r>
  </si>
  <si>
    <r>
      <rPr>
        <sz val="9"/>
        <color rgb="FF231F20"/>
        <rFont val="Titillium Web"/>
      </rPr>
      <t>Solaruitvoering met 1-kanaals handzender</t>
    </r>
  </si>
  <si>
    <r>
      <rPr>
        <sz val="9"/>
        <color rgb="FF231F20"/>
        <rFont val="Titillium Web"/>
      </rPr>
      <t>Minderprijs bandbediening -/-</t>
    </r>
  </si>
  <si>
    <r>
      <rPr>
        <sz val="9"/>
        <color rgb="FF231F20"/>
        <rFont val="Titillium Web"/>
      </rPr>
      <t>Minderprijs LT 50 12 rpm -/-</t>
    </r>
  </si>
  <si>
    <r>
      <rPr>
        <sz val="9"/>
        <color rgb="FF231F20"/>
        <rFont val="Titillium Web"/>
      </rPr>
      <t>RS 100 io 17 rpm</t>
    </r>
  </si>
  <si>
    <r>
      <rPr>
        <sz val="9"/>
        <color rgb="FF231F20"/>
        <rFont val="Titillium Web"/>
      </rPr>
      <t>LHTF geleider</t>
    </r>
  </si>
  <si>
    <r>
      <rPr>
        <b/>
        <sz val="9"/>
        <color rgb="FFFFFFFF"/>
        <rFont val="Titillium Web"/>
      </rPr>
      <t>Koppelen RollBasic</t>
    </r>
  </si>
  <si>
    <r>
      <rPr>
        <sz val="9"/>
        <color rgb="FF231F20"/>
        <rFont val="Titillium Web"/>
      </rPr>
      <t>Geluidsdempende kast</t>
    </r>
  </si>
  <si>
    <r>
      <rPr>
        <sz val="9"/>
        <color rgb="FF231F20"/>
        <rFont val="Titillium Web"/>
      </rPr>
      <t>Valse vensterbank 30 x 20 x 2 per meter</t>
    </r>
  </si>
  <si>
    <r>
      <rPr>
        <sz val="9"/>
        <color rgb="FF231F20"/>
        <rFont val="Titillium Web"/>
      </rPr>
      <t>Valse vensterbank 70 x 20 x 2 per meter</t>
    </r>
  </si>
  <si>
    <r>
      <rPr>
        <b/>
        <sz val="9"/>
        <color rgb="FF231F20"/>
        <rFont val="Titillium Web"/>
      </rPr>
      <t xml:space="preserve">Stap 2: </t>
    </r>
    <r>
      <rPr>
        <sz val="9"/>
        <color rgb="FF231F20"/>
        <rFont val="Titillium Web"/>
      </rPr>
      <t>Trek 60,- af van de totaalprijs van deze 2 rolluiken</t>
    </r>
  </si>
  <si>
    <r>
      <rPr>
        <b/>
        <sz val="9"/>
        <color rgb="FF231F20"/>
        <rFont val="Titillium Web"/>
      </rPr>
      <t xml:space="preserve">Stap 3: </t>
    </r>
    <r>
      <rPr>
        <sz val="9"/>
        <color rgb="FF231F20"/>
        <rFont val="Titillium Web"/>
      </rPr>
      <t>Bereken de eventuele meerprijs van 1 optionele motor</t>
    </r>
  </si>
  <si>
    <r>
      <rPr>
        <b/>
        <sz val="24"/>
        <color rgb="FF294974"/>
        <rFont val="Ubuntu"/>
        <family val="2"/>
      </rPr>
      <t>RollBasic XS</t>
    </r>
  </si>
  <si>
    <r>
      <rPr>
        <sz val="9"/>
        <color rgb="FF231F20"/>
        <rFont val="Titillium Web"/>
      </rPr>
      <t>Handzender solar 15-kanaals</t>
    </r>
  </si>
  <si>
    <r>
      <rPr>
        <b/>
        <sz val="24"/>
        <color rgb="FF294974"/>
        <rFont val="Ubuntu"/>
        <family val="2"/>
      </rPr>
      <t>Opties en accessoires rolluiken</t>
    </r>
  </si>
  <si>
    <r>
      <rPr>
        <b/>
        <sz val="10"/>
        <color rgb="FFFFFFFF"/>
        <rFont val="Titillium Web"/>
      </rPr>
      <t>Minderprijzen</t>
    </r>
  </si>
  <si>
    <r>
      <rPr>
        <b/>
        <sz val="10"/>
        <color rgb="FFFFFFFF"/>
        <rFont val="Titillium Web"/>
      </rPr>
      <t>Los pantser</t>
    </r>
  </si>
  <si>
    <r>
      <rPr>
        <sz val="9"/>
        <color rgb="FF231F20"/>
        <rFont val="Titillium Web"/>
      </rPr>
      <t>Wandzender solar 15-kanaals</t>
    </r>
  </si>
  <si>
    <r>
      <rPr>
        <sz val="9"/>
        <color rgb="FF231F20"/>
        <rFont val="Titillium Web"/>
      </rPr>
      <t>Los pantser per m</t>
    </r>
    <r>
      <rPr>
        <vertAlign val="superscript"/>
        <sz val="5"/>
        <color rgb="FF231F20"/>
        <rFont val="Titillium Web"/>
      </rPr>
      <t xml:space="preserve">2
</t>
    </r>
    <r>
      <rPr>
        <sz val="9"/>
        <color rgb="FF231F20"/>
        <rFont val="Titillium Web"/>
      </rPr>
      <t>inclusief onderlijst en gearreteerd</t>
    </r>
  </si>
  <si>
    <r>
      <rPr>
        <b/>
        <sz val="10"/>
        <color rgb="FFFFFFFF"/>
        <rFont val="Titillium Web"/>
      </rPr>
      <t>Overig</t>
    </r>
  </si>
  <si>
    <r>
      <rPr>
        <sz val="9"/>
        <color rgb="FF231F20"/>
        <rFont val="Titillium Web"/>
      </rPr>
      <t>Valse vensterbank hoekprofiel 30x20x2 per m</t>
    </r>
    <r>
      <rPr>
        <vertAlign val="superscript"/>
        <sz val="5"/>
        <color rgb="FF231F20"/>
        <rFont val="Titillium Web"/>
      </rPr>
      <t>1</t>
    </r>
  </si>
  <si>
    <r>
      <rPr>
        <b/>
        <sz val="10"/>
        <color rgb="FFFFFFFF"/>
        <rFont val="Titillium Web"/>
      </rPr>
      <t>Meerprijzen geleiders (voor tekeningen zie blz. 39)</t>
    </r>
  </si>
  <si>
    <r>
      <rPr>
        <sz val="9"/>
        <color rgb="FF231F20"/>
        <rFont val="Titillium Web"/>
      </rPr>
      <t>Valse vensterbank hoekprofiel 70x20x2 per m</t>
    </r>
    <r>
      <rPr>
        <vertAlign val="superscript"/>
        <sz val="5"/>
        <color rgb="FF231F20"/>
        <rFont val="Titillium Web"/>
      </rPr>
      <t>1</t>
    </r>
  </si>
  <si>
    <r>
      <rPr>
        <sz val="9"/>
        <color rgb="FF231F20"/>
        <rFont val="Titillium Web"/>
      </rPr>
      <t>HTF standaard bij prijs inbegrepen</t>
    </r>
  </si>
  <si>
    <r>
      <rPr>
        <sz val="9"/>
        <color rgb="FF231F20"/>
        <rFont val="Titillium Web"/>
      </rPr>
      <t>LHTF standaard bij prijs inbegrepen</t>
    </r>
  </si>
  <si>
    <r>
      <rPr>
        <sz val="9"/>
        <color rgb="FF231F20"/>
        <rFont val="Titillium Web"/>
      </rPr>
      <t>HF meerprijs per meter per geleider</t>
    </r>
  </si>
  <si>
    <r>
      <rPr>
        <sz val="9"/>
        <color rgb="FF231F20"/>
        <rFont val="Titillium Web"/>
      </rPr>
      <t>LHF meerprijs per meter per geleider</t>
    </r>
  </si>
  <si>
    <r>
      <rPr>
        <sz val="9"/>
        <color rgb="FF231F20"/>
        <rFont val="Titillium Web"/>
      </rPr>
      <t>FHTF 12 meerprijs per meter per geleider</t>
    </r>
  </si>
  <si>
    <r>
      <rPr>
        <sz val="9"/>
        <color rgb="FF231F20"/>
        <rFont val="Titillium Web"/>
      </rPr>
      <t>FHTF 20 meerprijs per meter per geleider</t>
    </r>
  </si>
  <si>
    <r>
      <rPr>
        <b/>
        <sz val="10"/>
        <color rgb="FFFFFFFF"/>
        <rFont val="Titillium Web"/>
      </rPr>
      <t>Tabel rolluiken minimale breedte per bediening in mm</t>
    </r>
  </si>
  <si>
    <r>
      <rPr>
        <b/>
        <sz val="9"/>
        <color rgb="FF231F20"/>
        <rFont val="Titillium Web"/>
      </rPr>
      <t>ilmo WT 50</t>
    </r>
  </si>
  <si>
    <r>
      <rPr>
        <b/>
        <sz val="9"/>
        <color rgb="FF231F20"/>
        <rFont val="Titillium Web"/>
      </rPr>
      <t>ilmo short WT 50*</t>
    </r>
  </si>
  <si>
    <r>
      <rPr>
        <b/>
        <sz val="9"/>
        <color rgb="FF231F20"/>
        <rFont val="Titillium Web"/>
      </rPr>
      <t>oximo io</t>
    </r>
  </si>
  <si>
    <r>
      <rPr>
        <b/>
        <sz val="9"/>
        <color rgb="FF231F20"/>
        <rFont val="Titillium Web"/>
      </rPr>
      <t>oximo short io*</t>
    </r>
  </si>
  <si>
    <r>
      <rPr>
        <b/>
        <sz val="9"/>
        <color rgb="FF231F20"/>
        <rFont val="Titillium Web"/>
      </rPr>
      <t>RS 100 io</t>
    </r>
  </si>
  <si>
    <r>
      <rPr>
        <b/>
        <sz val="9"/>
        <color rgb="FF231F20"/>
        <rFont val="Titillium Web"/>
      </rPr>
      <t>Solar Brel</t>
    </r>
  </si>
  <si>
    <r>
      <rPr>
        <b/>
        <sz val="9"/>
        <color rgb="FF231F20"/>
        <rFont val="Titillium Web"/>
      </rPr>
      <t>RollBasic</t>
    </r>
  </si>
  <si>
    <r>
      <rPr>
        <b/>
        <sz val="9"/>
        <color rgb="FF231F20"/>
        <rFont val="Titillium Web"/>
      </rPr>
      <t>RollBasic XS</t>
    </r>
  </si>
  <si>
    <r>
      <rPr>
        <b/>
        <sz val="9"/>
        <color rgb="FF231F20"/>
        <rFont val="Titillium Web"/>
      </rPr>
      <t xml:space="preserve">Uitval 115 met doorval
</t>
    </r>
    <r>
      <rPr>
        <b/>
        <sz val="9"/>
        <color rgb="FF231F20"/>
        <rFont val="Titillium Web"/>
      </rPr>
      <t>Uitval 135 tot 90 º</t>
    </r>
  </si>
  <si>
    <r>
      <rPr>
        <b/>
        <sz val="9"/>
        <color rgb="FF231F20"/>
        <rFont val="Titillium Web"/>
      </rPr>
      <t xml:space="preserve">Uitval 95 met doorval Uitval 115 tot 90 º
</t>
    </r>
    <r>
      <rPr>
        <b/>
        <sz val="9"/>
        <color rgb="FF231F20"/>
        <rFont val="Titillium Web"/>
      </rPr>
      <t>Let op: uitval 115 is effectief 109 cm</t>
    </r>
  </si>
  <si>
    <r>
      <rPr>
        <b/>
        <sz val="9"/>
        <color rgb="FF231F20"/>
        <rFont val="Titillium Web"/>
      </rPr>
      <t xml:space="preserve">Uitval 135 met doorval
</t>
    </r>
    <r>
      <rPr>
        <b/>
        <sz val="9"/>
        <color rgb="FF231F20"/>
        <rFont val="Titillium Web"/>
      </rPr>
      <t>Uitval 150 tot 90 º</t>
    </r>
  </si>
  <si>
    <r>
      <rPr>
        <b/>
        <sz val="9"/>
        <color rgb="FF231F20"/>
        <rFont val="Titillium Web"/>
      </rPr>
      <t>Draaistang</t>
    </r>
  </si>
  <si>
    <r>
      <rPr>
        <b/>
        <sz val="9"/>
        <color rgb="FF231F20"/>
        <rFont val="Titillium Web"/>
      </rPr>
      <t>Somfy</t>
    </r>
  </si>
  <si>
    <r>
      <rPr>
        <b/>
        <sz val="9"/>
        <color rgb="FF231F20"/>
        <rFont val="Titillium Web"/>
      </rPr>
      <t>Banen</t>
    </r>
  </si>
  <si>
    <r>
      <rPr>
        <b/>
        <sz val="9"/>
        <color rgb="FF231F20"/>
        <rFont val="Titillium Web"/>
      </rPr>
      <t>buiten</t>
    </r>
  </si>
  <si>
    <r>
      <rPr>
        <b/>
        <sz val="9"/>
        <color rgb="FF231F20"/>
        <rFont val="Titillium Web"/>
      </rPr>
      <t>con- fectie</t>
    </r>
  </si>
  <si>
    <r>
      <rPr>
        <sz val="8"/>
        <color rgb="FF231F20"/>
        <rFont val="Titillium Web"/>
      </rPr>
      <t>Glijarm 140 / 90 (werkhoogte)</t>
    </r>
  </si>
  <si>
    <r>
      <rPr>
        <sz val="8"/>
        <color rgb="FF231F20"/>
        <rFont val="Titillium Web"/>
      </rPr>
      <t>Voor tekeningen en maatvoering zie pagina 46</t>
    </r>
  </si>
  <si>
    <r>
      <rPr>
        <b/>
        <sz val="24"/>
        <color rgb="FF294974"/>
        <rFont val="Ubuntu"/>
        <family val="2"/>
      </rPr>
      <t>SunCube XL</t>
    </r>
  </si>
  <si>
    <r>
      <rPr>
        <b/>
        <sz val="9"/>
        <color rgb="FF231F20"/>
        <rFont val="Titillium Web"/>
      </rPr>
      <t>confec- tie</t>
    </r>
  </si>
  <si>
    <r>
      <rPr>
        <b/>
        <sz val="24"/>
        <color rgb="FF294974"/>
        <rFont val="Ubuntu"/>
        <family val="2"/>
      </rPr>
      <t>SunProject</t>
    </r>
  </si>
  <si>
    <r>
      <rPr>
        <b/>
        <sz val="9"/>
        <color rgb="FF231F20"/>
        <rFont val="Titillium Web"/>
      </rPr>
      <t xml:space="preserve">Uitval 95 met doorval Uitval 115 tot 90 º
</t>
    </r>
    <r>
      <rPr>
        <b/>
        <sz val="9"/>
        <color rgb="FF231F20"/>
        <rFont val="Titillium Web"/>
      </rPr>
      <t>Let op: uitval 115 is effectief 107 cm</t>
    </r>
  </si>
  <si>
    <r>
      <rPr>
        <b/>
        <sz val="9"/>
        <color rgb="FF231F20"/>
        <rFont val="Titillium Web"/>
      </rPr>
      <t>Uitval 115 met doorval Uitval 135 tot 90 º</t>
    </r>
  </si>
  <si>
    <r>
      <rPr>
        <b/>
        <sz val="9"/>
        <color rgb="FF231F20"/>
        <rFont val="Titillium Web"/>
      </rPr>
      <t>Uitval 135 met doorval Uitval 150 tot 90 º</t>
    </r>
  </si>
  <si>
    <r>
      <rPr>
        <b/>
        <sz val="9"/>
        <color rgb="FF231F20"/>
        <rFont val="Titillium Web"/>
      </rPr>
      <t>LT</t>
    </r>
  </si>
  <si>
    <r>
      <rPr>
        <sz val="8"/>
        <color rgb="FF231F20"/>
        <rFont val="Titillium Web"/>
      </rPr>
      <t>Glijarm 170/ 80 of 100 (werkhoogte)</t>
    </r>
  </si>
  <si>
    <r>
      <rPr>
        <b/>
        <sz val="24"/>
        <color rgb="FF294974"/>
        <rFont val="Ubuntu"/>
        <family val="2"/>
      </rPr>
      <t>Opties en accessoires uitval</t>
    </r>
  </si>
  <si>
    <r>
      <rPr>
        <b/>
        <sz val="10"/>
        <color rgb="FFFFFFFF"/>
        <rFont val="Titillium Web"/>
      </rPr>
      <t>Meerprijzen bediening SunCube (XL)</t>
    </r>
  </si>
  <si>
    <r>
      <rPr>
        <b/>
        <sz val="10"/>
        <color rgb="FFFFFFFF"/>
        <rFont val="Titillium Web"/>
      </rPr>
      <t>Meerprijzen bediening SunCar XL en SunProject</t>
    </r>
  </si>
  <si>
    <r>
      <rPr>
        <sz val="9"/>
        <color rgb="FF231F20"/>
        <rFont val="Titillium Web"/>
      </rPr>
      <t>Windvaste gasveerarm (per stuk) i.p.v. windvast</t>
    </r>
  </si>
  <si>
    <r>
      <rPr>
        <sz val="9"/>
        <color rgb="FF231F20"/>
        <rFont val="Titillium Web"/>
      </rPr>
      <t>Draaistangbediening binnen t.o.v. buiten</t>
    </r>
  </si>
  <si>
    <r>
      <rPr>
        <sz val="9"/>
        <color rgb="FF231F20"/>
        <rFont val="Titillium Web"/>
      </rPr>
      <t>Staaldraadwindwerk t.o.v. draaistangbediening &lt; 4 m¹</t>
    </r>
  </si>
  <si>
    <r>
      <rPr>
        <sz val="9"/>
        <color rgb="FF231F20"/>
        <rFont val="Titillium Web"/>
      </rPr>
      <t>Staaldraadwindwerk t.o.v. draaistangbediening &gt; 4 m¹</t>
    </r>
  </si>
  <si>
    <r>
      <rPr>
        <sz val="9"/>
        <color rgb="FF231F20"/>
        <rFont val="Titillium Web"/>
      </rPr>
      <t>Sunea io motor t.o.v. standaard motor</t>
    </r>
  </si>
  <si>
    <r>
      <rPr>
        <sz val="9"/>
        <color rgb="FF231F20"/>
        <rFont val="Titillium Web"/>
      </rPr>
      <t>Balkonuitvoering per scherm, 2 armen*</t>
    </r>
  </si>
  <si>
    <r>
      <rPr>
        <sz val="9"/>
        <color rgb="FF231F20"/>
        <rFont val="Titillium Web"/>
      </rPr>
      <t>Orea WT motor t.o.v. standaard motor</t>
    </r>
  </si>
  <si>
    <r>
      <rPr>
        <sz val="9"/>
        <color rgb="FF231F20"/>
        <rFont val="Titillium Web"/>
      </rPr>
      <t>Draaistang per stuk</t>
    </r>
  </si>
  <si>
    <r>
      <rPr>
        <sz val="8"/>
        <color rgb="FF231F20"/>
        <rFont val="Titillium Web"/>
      </rPr>
      <t>* Balkonuitvoering alleen elektrisch mogelijk.</t>
    </r>
  </si>
  <si>
    <r>
      <rPr>
        <sz val="9"/>
        <color rgb="FF231F20"/>
        <rFont val="Titillium Web"/>
      </rPr>
      <t>Schakelaar per stuk</t>
    </r>
  </si>
  <si>
    <r>
      <rPr>
        <sz val="9"/>
        <color rgb="FF231F20"/>
        <rFont val="Titillium Web"/>
      </rPr>
      <t>Hoekprofiel 60x40x3</t>
    </r>
  </si>
  <si>
    <r>
      <rPr>
        <b/>
        <sz val="24"/>
        <color rgb="FF294974"/>
        <rFont val="Ubuntu"/>
        <family val="2"/>
      </rPr>
      <t>Somfy</t>
    </r>
  </si>
  <si>
    <r>
      <rPr>
        <b/>
        <sz val="9"/>
        <color rgb="FFFFFFFF"/>
        <rFont val="Titillium Web"/>
      </rPr>
      <t>Situo 1 io Pure</t>
    </r>
  </si>
  <si>
    <r>
      <rPr>
        <b/>
        <sz val="9"/>
        <color rgb="FFFFFFFF"/>
        <rFont val="Titillium Web"/>
      </rPr>
      <t>Situo 5 io Pure</t>
    </r>
  </si>
  <si>
    <r>
      <rPr>
        <b/>
        <sz val="9"/>
        <color rgb="FFFFFFFF"/>
        <rFont val="Titillium Web"/>
      </rPr>
      <t>Situo 5 VAR A/M io Pure</t>
    </r>
  </si>
  <si>
    <r>
      <rPr>
        <b/>
        <sz val="9"/>
        <color rgb="FFFFFFFF"/>
        <rFont val="Titillium Web"/>
      </rPr>
      <t>Sunis WireFree II sensor io</t>
    </r>
  </si>
  <si>
    <r>
      <rPr>
        <b/>
        <sz val="9"/>
        <color rgb="FFFFFFFF"/>
        <rFont val="Titillium Web"/>
      </rPr>
      <t>Eolis io</t>
    </r>
  </si>
  <si>
    <r>
      <rPr>
        <b/>
        <sz val="9"/>
        <color rgb="FFFFFFFF"/>
        <rFont val="Titillium Web"/>
      </rPr>
      <t>Regensensor Ondeis 230 V</t>
    </r>
  </si>
  <si>
    <r>
      <rPr>
        <b/>
        <sz val="9"/>
        <color rgb="FFFFFFFF"/>
        <rFont val="Titillium Web"/>
      </rPr>
      <t>Eolis Wirefree io</t>
    </r>
  </si>
  <si>
    <r>
      <rPr>
        <b/>
        <sz val="9"/>
        <color rgb="FFFFFFFF"/>
        <rFont val="Titillium Web"/>
      </rPr>
      <t>Eolis 3D sensor io wit</t>
    </r>
  </si>
  <si>
    <r>
      <rPr>
        <sz val="9"/>
        <color rgb="FF231F20"/>
        <rFont val="Titillium Web"/>
      </rPr>
      <t>908670-wit</t>
    </r>
  </si>
  <si>
    <r>
      <rPr>
        <b/>
        <sz val="9"/>
        <color rgb="FFFFFFFF"/>
        <rFont val="Titillium Web"/>
      </rPr>
      <t>Eolis 3D sensor io zwart</t>
    </r>
  </si>
  <si>
    <r>
      <rPr>
        <sz val="9"/>
        <color rgb="FF231F20"/>
        <rFont val="Titillium Web"/>
      </rPr>
      <t>908670-zwart</t>
    </r>
  </si>
  <si>
    <r>
      <rPr>
        <b/>
        <sz val="24"/>
        <color rgb="FF294974"/>
        <rFont val="Ubuntu"/>
        <family val="2"/>
      </rPr>
      <t xml:space="preserve">Square 85/100 Carré 85/100 </t>
    </r>
    <r>
      <rPr>
        <b/>
        <sz val="15"/>
        <color rgb="FF294974"/>
        <rFont val="Ubuntu"/>
        <family val="2"/>
      </rPr>
      <t>(alleen elektrisch)</t>
    </r>
  </si>
  <si>
    <r>
      <rPr>
        <b/>
        <vertAlign val="superscript"/>
        <sz val="13"/>
        <color rgb="FFFFFFFF"/>
        <rFont val="Titillium Web"/>
      </rPr>
      <t xml:space="preserve">Uitval 250 cm                                                                                               </t>
    </r>
    <r>
      <rPr>
        <b/>
        <sz val="13"/>
        <color rgb="FFFFFFFF"/>
        <rFont val="Titillium Web"/>
      </rPr>
      <t>Uitval 300 cm</t>
    </r>
  </si>
  <si>
    <t>Uitval 250 cm                                                Uitval 300 cm</t>
  </si>
  <si>
    <t>(minimale breedte elektrisch 277 cm)                           (minimale breedte elektrisch 327 cm)</t>
  </si>
  <si>
    <t>Uitval 250 cm                                                                       Uitval 300 cm</t>
  </si>
  <si>
    <t>(werkelijk 295 cm) (minimale breedte 319 cm)</t>
  </si>
  <si>
    <t>(werkelijk 225 cm) (minimale breedte 269 cm)</t>
  </si>
  <si>
    <r>
      <rPr>
        <b/>
        <vertAlign val="superscript"/>
        <sz val="13"/>
        <color rgb="FFFFFFFF"/>
        <rFont val="Titillium Web"/>
      </rPr>
      <t xml:space="preserve">Doek 165                                                      </t>
    </r>
    <r>
      <rPr>
        <b/>
        <sz val="13"/>
        <color rgb="FFFFFFFF"/>
        <rFont val="Titillium Web"/>
      </rPr>
      <t>Doek 200                                                                Doek 225</t>
    </r>
  </si>
  <si>
    <r>
      <rPr>
        <b/>
        <vertAlign val="superscript"/>
        <sz val="13"/>
        <color rgb="FFFFFFFF"/>
        <rFont val="Titillium Web"/>
      </rPr>
      <t xml:space="preserve">    Doek 165                                                                                            </t>
    </r>
    <r>
      <rPr>
        <b/>
        <sz val="13"/>
        <color rgb="FFFFFFFF"/>
        <rFont val="Titillium Web"/>
      </rPr>
      <t>Doek 200                                Doek 225</t>
    </r>
  </si>
  <si>
    <t>Uitval 250                                    Uitval 300                            Uitval 350</t>
  </si>
  <si>
    <t>BTW tarief</t>
  </si>
  <si>
    <t>Invullen SVP</t>
  </si>
  <si>
    <t>Meerprijs RAL-kleuren: 20%.</t>
  </si>
  <si>
    <t>confectie</t>
  </si>
  <si>
    <t>Motor (LT50 12 RPM)                           Draaistangbediening</t>
  </si>
  <si>
    <r>
      <rPr>
        <b/>
        <sz val="24"/>
        <color rgb="FF294974"/>
        <rFont val="Ubuntu"/>
        <family val="2"/>
      </rPr>
      <t xml:space="preserve">Square 85/100 
Carré 85/100 </t>
    </r>
    <r>
      <rPr>
        <b/>
        <sz val="15"/>
        <color rgb="FF294974"/>
        <rFont val="Ubuntu"/>
        <family val="2"/>
      </rPr>
      <t>(alleen elektrisch)</t>
    </r>
  </si>
  <si>
    <t>(werkelijk 345 cm) 
(minimale breedte 401 cm)</t>
  </si>
  <si>
    <t>* short motoren meerprijs</t>
  </si>
  <si>
    <t xml:space="preserve">* short motoren meerprijs </t>
  </si>
  <si>
    <t xml:space="preserve">                             Doek 165                                               Doek 200                                                 Doek 225</t>
  </si>
  <si>
    <t>Armen</t>
  </si>
  <si>
    <t>doeken</t>
  </si>
  <si>
    <t>tussenlager</t>
  </si>
  <si>
    <r>
      <rPr>
        <b/>
        <sz val="9"/>
        <color rgb="FF231F20"/>
        <rFont val="Titillium Web"/>
      </rPr>
      <t>3
2
1</t>
    </r>
  </si>
  <si>
    <t>Factor verhogingen</t>
  </si>
  <si>
    <t>Zwart kabelsnoer LT/io 10 meter</t>
  </si>
  <si>
    <t>Screen</t>
  </si>
  <si>
    <t>Rolluiken</t>
  </si>
  <si>
    <t>Zonneschermen</t>
  </si>
  <si>
    <t>Doek</t>
  </si>
  <si>
    <t>* Max. H = 200 cm</t>
  </si>
  <si>
    <r>
      <rPr>
        <sz val="9"/>
        <color rgb="FF231F20"/>
        <rFont val="Titillium Web"/>
      </rPr>
      <t>Minderprijs bandbediening (t.o.v. tabel draaistangbediening) -/-</t>
    </r>
    <r>
      <rPr>
        <sz val="9"/>
        <rFont val="Titillium Web"/>
      </rPr>
      <t>*</t>
    </r>
  </si>
  <si>
    <t>* Max. H = 250 cm / B = 340 cm / 6m2</t>
  </si>
  <si>
    <t>Minderprijs bandbediening* (t.o.v. tabel draaistangbediening) -/-</t>
  </si>
  <si>
    <t>Solar uitvoering incl. 1-kanaals handzender op Carré 100</t>
  </si>
  <si>
    <t>Sunilus io 17 rpm (meerprijs t.o.v. motor)</t>
  </si>
  <si>
    <t>Sunfix elektrisch (inclusief Maestria io)</t>
  </si>
  <si>
    <t>Sunfix systeem draaistangbediening</t>
  </si>
  <si>
    <t>Maestria io 32 rpm (meerprijs t.o.v. motor)</t>
  </si>
  <si>
    <r>
      <rPr>
        <b/>
        <sz val="24"/>
        <color rgb="FF294974"/>
        <rFont val="Ubuntu"/>
        <family val="2"/>
      </rPr>
      <t xml:space="preserve">Zip Square 85/100 </t>
    </r>
    <r>
      <rPr>
        <b/>
        <sz val="16"/>
        <color rgb="FF294974"/>
        <rFont val="Ubuntu"/>
        <family val="2"/>
      </rPr>
      <t>(Sunilus io 17 rpm)</t>
    </r>
    <r>
      <rPr>
        <b/>
        <sz val="24"/>
        <color rgb="FF294974"/>
        <rFont val="Ubuntu"/>
        <family val="2"/>
      </rPr>
      <t xml:space="preserve">
Zip Carré 85/100 </t>
    </r>
    <r>
      <rPr>
        <b/>
        <sz val="16"/>
        <color rgb="FF294974"/>
        <rFont val="Ubuntu"/>
        <family val="2"/>
      </rPr>
      <t>(Sunilus io 17 rpm)</t>
    </r>
  </si>
  <si>
    <t>Motor (Sunilus io 17 rpm)</t>
  </si>
  <si>
    <t>Minderprijs LT 50 32 rpm</t>
  </si>
  <si>
    <t>Solar uitvoering ZIP Carré 100 incl. 1-kanaals handzender</t>
  </si>
  <si>
    <t>Verandageleider in de dag per meter</t>
  </si>
  <si>
    <t>Maestria io 32 rpm</t>
  </si>
  <si>
    <t>Situo 1 io handzender</t>
  </si>
  <si>
    <t>LHTF geleider per meter</t>
  </si>
  <si>
    <t>Zipscreen</t>
  </si>
  <si>
    <t>inclusief</t>
  </si>
  <si>
    <r>
      <rPr>
        <b/>
        <sz val="9"/>
        <color rgb="FF231F20"/>
        <rFont val="Titillium Web"/>
      </rPr>
      <t xml:space="preserve">Stap 2: </t>
    </r>
    <r>
      <rPr>
        <sz val="9"/>
        <color rgb="FF231F20"/>
        <rFont val="Titillium Web"/>
      </rPr>
      <t>Trek 80,- af van de totaalprijs van deze
2 screens</t>
    </r>
  </si>
  <si>
    <r>
      <rPr>
        <sz val="9"/>
        <color rgb="FF231F20"/>
        <rFont val="Titillium Web"/>
      </rPr>
      <t>5 meter kabelsnoer LT</t>
    </r>
    <r>
      <rPr>
        <sz val="9"/>
        <rFont val="Titillium Web"/>
      </rPr>
      <t>/io</t>
    </r>
  </si>
  <si>
    <t>10 meter kabelsnoer LT/io</t>
  </si>
  <si>
    <t>Smart Hube</t>
  </si>
  <si>
    <t>Solar Brel</t>
  </si>
  <si>
    <t>nvt</t>
  </si>
  <si>
    <t>Veozip</t>
  </si>
  <si>
    <t>Toeslag klikpees buiskant (let op H + 20 cm bestellen)</t>
  </si>
  <si>
    <t>per meter</t>
  </si>
  <si>
    <r>
      <rPr>
        <b/>
        <sz val="9"/>
        <color rgb="FF231F20"/>
        <rFont val="Titillium Web"/>
      </rPr>
      <t xml:space="preserve">Screendoek
</t>
    </r>
    <r>
      <rPr>
        <sz val="9"/>
        <color rgb="FF231F20"/>
        <rFont val="Titillium Web"/>
      </rPr>
      <t>Minimale prijs per los doek is altijd 1,4 m².</t>
    </r>
  </si>
  <si>
    <t>Minderprijs tov Orea WT</t>
  </si>
  <si>
    <t>Draaistangbediening</t>
  </si>
  <si>
    <t>150 cm uitval*</t>
  </si>
  <si>
    <t>200 cm uitval*</t>
  </si>
  <si>
    <t>7 cm lage steun per stuk</t>
  </si>
  <si>
    <t>07 cm lage steun per stuk</t>
  </si>
  <si>
    <t>* Minimale afname 1 m1</t>
  </si>
  <si>
    <t>Sunmaster huiscollectie</t>
  </si>
  <si>
    <t>Volants (25 cm hoog)</t>
  </si>
  <si>
    <t>Standaard collectie</t>
  </si>
  <si>
    <t>Overige collectie</t>
  </si>
  <si>
    <t>per m²</t>
  </si>
  <si>
    <t>Klikpees gestikt met Tenara</t>
  </si>
  <si>
    <t>per m1</t>
  </si>
  <si>
    <t>120 cm</t>
  </si>
  <si>
    <t>H X B</t>
  </si>
  <si>
    <t>RS 100 io Solar (excl.handzender)</t>
  </si>
  <si>
    <t>RS 100 io Solar</t>
  </si>
  <si>
    <t>HTF 68 meerprijs per meter per geleider</t>
  </si>
  <si>
    <t>Uitval 95 met doorval Uitval 115 tot 90 º
Let op: uitval 115 is effectief 109 cm</t>
  </si>
  <si>
    <t>WT</t>
  </si>
  <si>
    <t>breedte</t>
  </si>
  <si>
    <t>RAL</t>
  </si>
  <si>
    <t>Trend</t>
  </si>
  <si>
    <t>doek in banen niet mogelijk i.v.m. oproldiameter</t>
  </si>
  <si>
    <t>doek in banen niet mogelijk bij uitval 135</t>
  </si>
  <si>
    <t>(uitval 115)</t>
  </si>
  <si>
    <t>Windvaste gasveerarm (per stuk) i.p.v. windvast</t>
  </si>
  <si>
    <t>Solar incl. 1-kanaals handzender (niet gekoppeld)</t>
  </si>
  <si>
    <t>Brel</t>
  </si>
  <si>
    <r>
      <rPr>
        <b/>
        <sz val="9"/>
        <color rgb="FFFFFFFF"/>
        <rFont val="Calibri"/>
        <family val="2"/>
      </rPr>
      <t>15-kanaals wandzender</t>
    </r>
  </si>
  <si>
    <r>
      <rPr>
        <b/>
        <sz val="9"/>
        <color rgb="FFFFFFFF"/>
        <rFont val="Calibri"/>
        <family val="2"/>
      </rPr>
      <t>1-kanaals handzender</t>
    </r>
  </si>
  <si>
    <r>
      <rPr>
        <b/>
        <sz val="9"/>
        <color rgb="FFFFFFFF"/>
        <rFont val="Calibri"/>
        <family val="2"/>
      </rPr>
      <t>15-kanaals handzender</t>
    </r>
  </si>
  <si>
    <r>
      <rPr>
        <b/>
        <sz val="9"/>
        <color rgb="FFFFFFFF"/>
        <rFont val="Calibri"/>
        <family val="2"/>
      </rPr>
      <t>Smarthub</t>
    </r>
  </si>
  <si>
    <r>
      <rPr>
        <b/>
        <sz val="9"/>
        <color rgb="FFFFFFFF"/>
        <rFont val="Calibri"/>
        <family val="2"/>
      </rPr>
      <t>Oplader Brel solar</t>
    </r>
  </si>
  <si>
    <t>1-kanaals wandzender</t>
  </si>
  <si>
    <t>Zonweringsdoek collectie</t>
  </si>
  <si>
    <t>Meerprijs t.o.v. zonneschermen</t>
  </si>
  <si>
    <t>prijs bij los doek</t>
  </si>
  <si>
    <t>Toeslagen</t>
  </si>
  <si>
    <t>Zip Square 85/100</t>
  </si>
  <si>
    <t>Zip Square 130</t>
  </si>
  <si>
    <t>* = berekening minimale breedte = uitval + 49 cm.</t>
  </si>
  <si>
    <t>* = berekening minimale breedte = uitval + 19 cm.</t>
  </si>
  <si>
    <t xml:space="preserve">Uitval 250 cm                                              </t>
  </si>
  <si>
    <t>Uitval 300 cm</t>
  </si>
  <si>
    <t>(werkelijk 295 cm) 
(minimale breedte 319 cm)</t>
  </si>
  <si>
    <t>(werkelijk 255 cm) 
(minimale breedte 269 cm)</t>
  </si>
  <si>
    <t>Eolis 3D sensor io</t>
  </si>
  <si>
    <r>
      <rPr>
        <sz val="9"/>
        <color rgb="FF231F20"/>
        <rFont val="Titillium Web"/>
      </rPr>
      <t>Los pantser per m²</t>
    </r>
    <r>
      <rPr>
        <vertAlign val="superscript"/>
        <sz val="5"/>
        <color rgb="FF231F20"/>
        <rFont val="Titillium Web"/>
      </rPr>
      <t xml:space="preserve">
</t>
    </r>
    <r>
      <rPr>
        <sz val="9"/>
        <color rgb="FF231F20"/>
        <rFont val="Titillium Web"/>
      </rPr>
      <t>inclusief onderlijst en gearreteerd</t>
    </r>
  </si>
  <si>
    <t>Sunproject 100</t>
  </si>
  <si>
    <t>SunCube 150</t>
  </si>
  <si>
    <t>Uitval 95 met doorval 
Uitval 115 tot 90 º
Let op: uitval 115 is effectief 107 cm</t>
  </si>
  <si>
    <t>Meerprijzen</t>
  </si>
  <si>
    <t>Solaruitvoering Brel met 1-kanaals handzender (meerprijs)</t>
  </si>
  <si>
    <t>Solar uitvoering Brel ZIP Carré 100 incl. 1-kanaals handzender</t>
  </si>
  <si>
    <t>Solar uitvoering Brel incl. 1-kanaals handzender op Carré 100</t>
  </si>
  <si>
    <r>
      <rPr>
        <b/>
        <sz val="24"/>
        <color rgb="FF294974"/>
        <rFont val="Ubuntu"/>
        <family val="2"/>
      </rPr>
      <t xml:space="preserve">SunZip Design Veranda </t>
    </r>
    <r>
      <rPr>
        <b/>
        <sz val="15"/>
        <color rgb="FF294974"/>
        <rFont val="Ubuntu"/>
        <family val="2"/>
      </rPr>
      <t>(Sunilus io 17 rpm)</t>
    </r>
  </si>
  <si>
    <t>3 meter kabelsnoer</t>
  </si>
  <si>
    <t>5 meter kabelsnoer</t>
  </si>
  <si>
    <t>10 meter kabelsnoer</t>
  </si>
  <si>
    <t>Prijs op aanvraag</t>
  </si>
  <si>
    <t>Soltis 92</t>
  </si>
  <si>
    <t>Sunea</t>
  </si>
  <si>
    <t>IO</t>
  </si>
  <si>
    <t>(minimale breedte elektrisch 280 cm)
(minimale breedte oogwindwerk 283 cm)</t>
  </si>
  <si>
    <t>(minimale breedte elektrisch 330 cm)
(minimale breedte oogwindwerk 333 cm)</t>
  </si>
  <si>
    <t>Orea WT</t>
  </si>
  <si>
    <t>Minderprijzen</t>
  </si>
  <si>
    <t>(werkelijk 245 cm) 
(minimale breedte 299 cm)</t>
  </si>
  <si>
    <t>SunElite</t>
  </si>
  <si>
    <t>(werkelijk 245 cm) 
(minimale breedte 315 cm)</t>
  </si>
  <si>
    <t>(werkelijk 295 cm) (minimale breedte 365 cm)</t>
  </si>
  <si>
    <t>(werkelijk 345 cm) 
(minimale breedte 415 cm)</t>
  </si>
  <si>
    <t>Led Verlichting io 2 kanalen (kleur en wit)</t>
  </si>
  <si>
    <t>Handzender Situo 5 A/M Var</t>
  </si>
  <si>
    <t>* = berekening minimale breedte = uitval + 65 cm.</t>
  </si>
  <si>
    <t>* = berekening minimale breedte =uitval + 30 cm.</t>
  </si>
  <si>
    <t>SunBasic</t>
  </si>
  <si>
    <t>Meerprijzen bediening</t>
  </si>
  <si>
    <t>prijs op aanvraag</t>
  </si>
  <si>
    <t>Meerprijs trendkleur: 15%.</t>
  </si>
  <si>
    <t>Meerprijs RAL-kleuren en/of ronde kast: 20%.</t>
  </si>
  <si>
    <t>Solaruitvoering Brel met 1-kanaals handzender</t>
  </si>
  <si>
    <t>Deelbare rolluikgeleider HTF</t>
  </si>
  <si>
    <t>Draaistangbediening buiten</t>
  </si>
  <si>
    <t>Kapsteun montage</t>
  </si>
  <si>
    <t>Optie</t>
  </si>
  <si>
    <t>Draaistangbediening buiten*</t>
  </si>
  <si>
    <t>* maximale breedte 4600 mm</t>
  </si>
  <si>
    <t>SunControl 150</t>
  </si>
  <si>
    <t>B              U</t>
  </si>
  <si>
    <t>Sunea io motor  (1 m. zwart snoer)</t>
  </si>
  <si>
    <t>Meerprijs RAL kleuren 15 %</t>
  </si>
  <si>
    <t>aantal steunen</t>
  </si>
  <si>
    <t>WT motor</t>
  </si>
  <si>
    <t>Meerprijs afwijkende RAL-kleuren</t>
  </si>
  <si>
    <t>Hoeksteun voor zijdelingse wandbevestiging | 80 x 60 mm</t>
  </si>
  <si>
    <t>Hoeksteun voor zijdelingse wandbevestiging | 50 x 50 mm</t>
  </si>
  <si>
    <t>per stuk</t>
  </si>
  <si>
    <t>ODZW</t>
  </si>
  <si>
    <t>SunControl 165 ZIP onder- en bovenliggend</t>
  </si>
  <si>
    <t>Vul aub rechts uw korting in en het btw tarief om op de sheets uw inkoopprijs te berekenen!</t>
  </si>
  <si>
    <t>* Somfy Solar wordt altijd uitgevoerd met Zip Design 110 cassette, 105 kast wordt geleverd zolang de voorraad strekt verwachting is eind Q1 2025.</t>
  </si>
  <si>
    <t>Solaruitvoering Somfy RS 100 io (excl. zender)*</t>
  </si>
  <si>
    <t>Solar Somfy RS 100 io</t>
  </si>
  <si>
    <t>SunZip Design 110</t>
  </si>
  <si>
    <t>Doek (s)</t>
  </si>
  <si>
    <t>MP KA</t>
  </si>
  <si>
    <t>Zonneschermen (XL)</t>
  </si>
  <si>
    <t>(werkelijk 245 cm) (minimale breedte 269 cm)</t>
  </si>
  <si>
    <t>Gehele collectie</t>
  </si>
  <si>
    <t>Dickson / Para / Sattler / Swela</t>
  </si>
  <si>
    <t>buiten huiscollectie*</t>
  </si>
  <si>
    <t>Para Starlight blue</t>
  </si>
  <si>
    <t>Sattler Lumera</t>
  </si>
  <si>
    <t>Dickson Orchestra Max / Opéra</t>
  </si>
  <si>
    <t>Uni's Infinity</t>
  </si>
  <si>
    <t>* = Geldig voor, Para | Tempotest, Dickson | Orchestra, Swela |  Elegance en Sattler | Elements</t>
  </si>
  <si>
    <t>betreft standaard collectie kleuren van de genoemde leveranciers.</t>
  </si>
  <si>
    <t>Rolluik onderdelen</t>
  </si>
  <si>
    <t>MP uitval</t>
  </si>
  <si>
    <t>Onderdakzonwering  opties</t>
  </si>
  <si>
    <t>Bovendakzonwering  opties</t>
  </si>
  <si>
    <t xml:space="preserve">    Montagevoet 105 mm (zie aantal steunen in prijstabel)</t>
  </si>
  <si>
    <t>incl.</t>
  </si>
  <si>
    <t xml:space="preserve">     Meerprijs afwijkende RAL-kleuren</t>
  </si>
  <si>
    <t xml:space="preserve">    Montagehoek 60 x 60</t>
  </si>
  <si>
    <t xml:space="preserve">    Montagevoet 150 mm</t>
  </si>
  <si>
    <t xml:space="preserve">    Montagevoet 200 mm</t>
  </si>
  <si>
    <t xml:space="preserve">    Montagevoet 300 mm</t>
  </si>
  <si>
    <t xml:space="preserve">     WT motor</t>
  </si>
  <si>
    <t>Montagevoet 105 mm (zie aantal steunen in prijstabel)</t>
  </si>
  <si>
    <t>Montagehoek 60 x 60</t>
  </si>
  <si>
    <t>Montagevoet 150 mm</t>
  </si>
  <si>
    <t>Montagevoet 200 mm</t>
  </si>
  <si>
    <t>Montagevoet 300 mm</t>
  </si>
  <si>
    <t>SunControl 165 ZIP pergola</t>
  </si>
  <si>
    <t>SunControl 165 BL + OL zip</t>
  </si>
  <si>
    <t>5500*</t>
  </si>
  <si>
    <t>6000*</t>
  </si>
  <si>
    <t>SunControl 165 pergola</t>
  </si>
  <si>
    <t>Pergola</t>
  </si>
  <si>
    <t>550*</t>
  </si>
  <si>
    <t>600*</t>
  </si>
  <si>
    <t>WT-motor</t>
  </si>
  <si>
    <t>Verstelbare staander 190 - 315 mm* (1 zijde)</t>
  </si>
  <si>
    <t>Staander verlengen (meerprijs per st. en per m.)</t>
  </si>
  <si>
    <t>Afdekkap montagevoet 150 x 150</t>
  </si>
  <si>
    <t>Extra tussenrol</t>
  </si>
  <si>
    <t>Pergola zonwering  opties</t>
  </si>
  <si>
    <t>p/st. &amp; p/m.</t>
  </si>
  <si>
    <t>Amy 1 io</t>
  </si>
  <si>
    <t>Amy 1 A/M</t>
  </si>
  <si>
    <t>Amy RS 100 io</t>
  </si>
  <si>
    <t>Amy 4 Mode io</t>
  </si>
  <si>
    <t>Amy RS100 io</t>
  </si>
  <si>
    <t>Amy 1 A/M Mode io</t>
  </si>
  <si>
    <t>Let op: Hoger dan 220 cm, automatisch kast 100</t>
  </si>
  <si>
    <r>
      <rPr>
        <b/>
        <sz val="24"/>
        <color rgb="FF294974"/>
        <rFont val="Ubuntu"/>
        <family val="2"/>
      </rPr>
      <t xml:space="preserve">SunZip Design 110 </t>
    </r>
    <r>
      <rPr>
        <b/>
        <sz val="15"/>
        <color rgb="FF294974"/>
        <rFont val="Ubuntu"/>
        <family val="2"/>
      </rPr>
      <t>(Sunilus io 17 rpm)</t>
    </r>
  </si>
  <si>
    <t>Verlengkabel Somfy solar met stekker 1 meter</t>
  </si>
  <si>
    <t>Solaruitvoering Brel incl. 1-kanaals handzender</t>
  </si>
  <si>
    <t>* I.v.m. opstartkosten prijzen geldig i.c.m. een compleet product</t>
  </si>
  <si>
    <t>Profielen per meter             |    Ral 9001 &amp; Antraciet str.    |                         Overige RAL*</t>
  </si>
  <si>
    <t>Soltis 86 270</t>
  </si>
  <si>
    <t>Soltis 86</t>
  </si>
  <si>
    <t>Verlengde 2-delige muursteun 50 cm per stuk</t>
  </si>
  <si>
    <t>Verlengde 2-delige muursteun 80 cm per stuk</t>
  </si>
  <si>
    <t>Dickson / Para / Sattler</t>
  </si>
  <si>
    <t>Swela New Light collectie</t>
  </si>
  <si>
    <t xml:space="preserve">correctie ivm RS 100 in tabel </t>
  </si>
  <si>
    <t>RS100</t>
  </si>
  <si>
    <t>/ factor=</t>
  </si>
  <si>
    <t>LHTF geleider</t>
  </si>
  <si>
    <t>Ilmo WT motor 17 rpm met draaischakelaar</t>
  </si>
  <si>
    <t>bandbediening</t>
  </si>
  <si>
    <t>LT 50 motor 12 rpm met draaischakelaar</t>
  </si>
  <si>
    <r>
      <rPr>
        <b/>
        <sz val="9"/>
        <color rgb="FF000000"/>
        <rFont val="Titillium Web"/>
      </rPr>
      <t>Stap 1:</t>
    </r>
    <r>
      <rPr>
        <sz val="9"/>
        <color rgb="FF000000"/>
        <rFont val="Titillium Web"/>
      </rPr>
      <t xml:space="preserve"> Calculeer 2 rolluiken uit bovenstaande tabel</t>
    </r>
  </si>
  <si>
    <r>
      <rPr>
        <b/>
        <sz val="9"/>
        <color rgb="FF231F20"/>
        <rFont val="Titillium Web"/>
      </rPr>
      <t xml:space="preserve">Stap 3: </t>
    </r>
    <r>
      <rPr>
        <sz val="9"/>
        <color rgb="FF231F20"/>
        <rFont val="Titillium Web"/>
      </rPr>
      <t>Bereken de eventuele meerprijs van 1 optionele motor , solar niet mogelijk</t>
    </r>
  </si>
  <si>
    <t>Koppelen S-42 (2 pantser - 1 motor)</t>
  </si>
  <si>
    <t>Motor (Somfy RS 100 io)</t>
  </si>
  <si>
    <r>
      <t xml:space="preserve">Rolluik S-42 </t>
    </r>
    <r>
      <rPr>
        <b/>
        <sz val="20"/>
        <color rgb="FF294974"/>
        <rFont val="Ubuntu"/>
        <family val="2"/>
      </rPr>
      <t>(RS 100 io)</t>
    </r>
  </si>
  <si>
    <t>Ilmo WT motor 17 rpm met draaischaakelaar</t>
  </si>
  <si>
    <r>
      <rPr>
        <b/>
        <sz val="9"/>
        <color rgb="FF000000"/>
        <rFont val="Titillium Web"/>
      </rPr>
      <t>Stap 1:</t>
    </r>
    <r>
      <rPr>
        <sz val="9"/>
        <color rgb="FF000000"/>
        <rFont val="Titillium Web"/>
      </rPr>
      <t xml:space="preserve"> Calculeer 2 rolluiken uit bovenstaande lamel</t>
    </r>
  </si>
  <si>
    <t>Koppelen S-37 (2 pantsers - 1 motor)</t>
  </si>
  <si>
    <r>
      <t xml:space="preserve">Rolluik S-37 </t>
    </r>
    <r>
      <rPr>
        <b/>
        <sz val="20"/>
        <color rgb="FF294974"/>
        <rFont val="Ubuntu"/>
        <family val="2"/>
      </rPr>
      <t>(RS 100 io)</t>
    </r>
  </si>
  <si>
    <t>Oximo io 50 17 rpm</t>
  </si>
  <si>
    <t>Ilmo WT motor 17 rpm</t>
  </si>
  <si>
    <t>Meerprijzen geleiders</t>
  </si>
  <si>
    <t>prijzen 2026 nieuw</t>
  </si>
  <si>
    <t>Tussenrol advies vanaf afmetingen (600x350, 550x400, 500x450)</t>
  </si>
  <si>
    <t>Sunteis io - buitensensor</t>
  </si>
  <si>
    <t>Sunteis</t>
  </si>
  <si>
    <t>2026-2</t>
  </si>
  <si>
    <t>MP ODZW</t>
  </si>
  <si>
    <t>Kortingspercentage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</si>
</sst>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00.00"/>
    <numFmt numFmtId="165" formatCode="0.0%"/>
    <numFmt numFmtId="166" formatCode="_ &quot;€&quot;\ * #,##0_ ;_ &quot;€&quot;\ * \-#,##0_ ;_ &quot;€&quot;\ * &quot;-&quot;??_ ;_ @_ "/>
    <numFmt numFmtId="167" formatCode="_ * #,##0.000_ ;_ * \-#,##0.000_ ;_ * &quot;-&quot;??_ ;_ @_ "/>
    <numFmt numFmtId="168" formatCode="_ * #,##0.000_ ;_ * \-#,##0.000_ ;_ * &quot;-&quot;???_ ;_ @_ "/>
  </numFmts>
  <fonts count="53">
    <font>
      <sz val="10"/>
      <color rgb="FF000000"/>
      <name val="Times New Roman"/>
      <charset val="204"/>
    </font>
    <font>
      <b/>
      <sz val="24"/>
      <name val="Ubuntu"/>
      <family val="2"/>
    </font>
    <font>
      <b/>
      <sz val="10"/>
      <name val="Titillium Web"/>
    </font>
    <font>
      <sz val="8"/>
      <name val="Titillium Web"/>
    </font>
    <font>
      <b/>
      <sz val="9"/>
      <color rgb="FF231F20"/>
      <name val="Titillium Web"/>
      <family val="2"/>
    </font>
    <font>
      <sz val="9"/>
      <color rgb="FF231F20"/>
      <name val="Titillium Web"/>
      <family val="2"/>
    </font>
    <font>
      <b/>
      <sz val="9"/>
      <name val="Titillium Web"/>
    </font>
    <font>
      <sz val="8"/>
      <color rgb="FF000000"/>
      <name val="Titillium Web Light"/>
      <family val="2"/>
    </font>
    <font>
      <sz val="9"/>
      <name val="Titillium Web"/>
    </font>
    <font>
      <b/>
      <sz val="13"/>
      <name val="Titillium Web"/>
    </font>
    <font>
      <b/>
      <sz val="9"/>
      <color rgb="FFFFFFFF"/>
      <name val="Titillium Web"/>
      <family val="2"/>
    </font>
    <font>
      <b/>
      <sz val="8"/>
      <name val="Titillium Web"/>
    </font>
    <font>
      <b/>
      <sz val="24"/>
      <color rgb="FF294974"/>
      <name val="Ubuntu"/>
      <family val="2"/>
    </font>
    <font>
      <b/>
      <sz val="10"/>
      <color rgb="FFFFFFFF"/>
      <name val="Titillium Web"/>
    </font>
    <font>
      <sz val="9"/>
      <color rgb="FF231F20"/>
      <name val="Titillium Web"/>
    </font>
    <font>
      <sz val="8"/>
      <color rgb="FF231F20"/>
      <name val="Titillium Web"/>
    </font>
    <font>
      <b/>
      <vertAlign val="subscript"/>
      <sz val="9"/>
      <color rgb="FF231F20"/>
      <name val="Titillium Web"/>
    </font>
    <font>
      <b/>
      <sz val="9"/>
      <color rgb="FF231F20"/>
      <name val="Titillium Web"/>
    </font>
    <font>
      <b/>
      <sz val="9"/>
      <color rgb="FFFFFFFF"/>
      <name val="Titillium Web"/>
    </font>
    <font>
      <b/>
      <sz val="15"/>
      <color rgb="FF294974"/>
      <name val="Ubuntu"/>
      <family val="2"/>
    </font>
    <font>
      <vertAlign val="superscript"/>
      <sz val="4.5"/>
      <color rgb="FF231F20"/>
      <name val="Titillium Web"/>
    </font>
    <font>
      <b/>
      <vertAlign val="subscript"/>
      <sz val="10"/>
      <color rgb="FFFFFFFF"/>
      <name val="Titillium Web"/>
    </font>
    <font>
      <b/>
      <vertAlign val="superscript"/>
      <sz val="5"/>
      <color rgb="FF231F20"/>
      <name val="Titillium Web"/>
    </font>
    <font>
      <b/>
      <vertAlign val="superscript"/>
      <sz val="13"/>
      <color rgb="FFFFFFFF"/>
      <name val="Titillium Web"/>
    </font>
    <font>
      <b/>
      <sz val="13"/>
      <color rgb="FFFFFFFF"/>
      <name val="Titillium Web"/>
    </font>
    <font>
      <vertAlign val="superscript"/>
      <sz val="5"/>
      <color rgb="FF231F20"/>
      <name val="Titillium Web"/>
    </font>
    <font>
      <b/>
      <sz val="10"/>
      <color rgb="FF294974"/>
      <name val="Ubuntu"/>
      <family val="2"/>
    </font>
    <font>
      <sz val="10"/>
      <color theme="0"/>
      <name val="Times New Roman"/>
      <family val="1"/>
    </font>
    <font>
      <sz val="10"/>
      <color rgb="FF000000"/>
      <name val="Times New Roman"/>
      <family val="1"/>
    </font>
    <font>
      <sz val="18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9"/>
      <color rgb="FF000000"/>
      <name val="Titillium Web"/>
    </font>
    <font>
      <b/>
      <sz val="9"/>
      <color rgb="FF000000"/>
      <name val="Titillium Web"/>
    </font>
    <font>
      <b/>
      <sz val="11"/>
      <color rgb="FFFFFFFF"/>
      <name val="Titillium Web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tillium Web"/>
    </font>
    <font>
      <b/>
      <sz val="16"/>
      <color rgb="FF294974"/>
      <name val="Ubuntu"/>
      <family val="2"/>
    </font>
    <font>
      <b/>
      <sz val="10"/>
      <color theme="0"/>
      <name val="Titillium Web"/>
    </font>
    <font>
      <b/>
      <sz val="9"/>
      <color theme="0"/>
      <name val="Titillium Web"/>
    </font>
    <font>
      <b/>
      <sz val="10"/>
      <color rgb="FF000000"/>
      <name val="Titillium Web"/>
    </font>
    <font>
      <sz val="10"/>
      <color indexed="0"/>
      <name val="Calibri"/>
      <family val="2"/>
      <scheme val="minor"/>
    </font>
    <font>
      <b/>
      <sz val="9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Lucida Sans Unicode"/>
      <family val="2"/>
    </font>
    <font>
      <sz val="10"/>
      <name val="Titillium Web"/>
    </font>
    <font>
      <sz val="10"/>
      <color rgb="FF231F20"/>
      <name val="Titillium Web"/>
    </font>
    <font>
      <sz val="16"/>
      <color rgb="FF000000"/>
      <name val="Calibri"/>
      <family val="2"/>
      <scheme val="minor"/>
    </font>
    <font>
      <sz val="10"/>
      <color rgb="FF000000"/>
      <name val="Callibri light"/>
    </font>
    <font>
      <b/>
      <sz val="20"/>
      <color rgb="FF294974"/>
      <name val="Ubuntu"/>
      <family val="2"/>
    </font>
    <font>
      <b/>
      <sz val="10"/>
      <color rgb="FF000000"/>
      <name val="Times New Roman"/>
      <family val="1"/>
    </font>
    <font>
      <sz val="11"/>
      <color rgb="FF000000"/>
      <name val="Aptos"/>
      <family val="2"/>
    </font>
    <font>
      <u/>
      <sz val="11"/>
      <color rgb="FF000000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294974"/>
      </patternFill>
    </fill>
    <fill>
      <patternFill patternType="solid">
        <fgColor rgb="FFA7B13B"/>
      </patternFill>
    </fill>
    <fill>
      <patternFill patternType="solid">
        <fgColor rgb="FFA31E56"/>
      </patternFill>
    </fill>
    <fill>
      <patternFill patternType="solid">
        <fgColor rgb="FFF7941D"/>
      </patternFill>
    </fill>
    <fill>
      <patternFill patternType="solid">
        <fgColor rgb="FF27431F"/>
      </patternFill>
    </fill>
    <fill>
      <patternFill patternType="solid">
        <fgColor rgb="FFD1D3D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24E76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1D3D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ADADA"/>
        <bgColor indexed="64"/>
      </patternFill>
    </fill>
  </fills>
  <borders count="11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/>
      <right style="thin">
        <color rgb="FFA7A9AC"/>
      </right>
      <top style="thin">
        <color rgb="FFA7A9AC"/>
      </top>
      <bottom style="thin">
        <color rgb="FFA7A9AC"/>
      </bottom>
      <diagonal/>
    </border>
    <border>
      <left style="thin">
        <color rgb="FFA7A9AC"/>
      </left>
      <right style="thin">
        <color rgb="FFA7A9AC"/>
      </right>
      <top style="thin">
        <color rgb="FFA7A9AC"/>
      </top>
      <bottom style="thin">
        <color rgb="FFA7A9AC"/>
      </bottom>
      <diagonal/>
    </border>
    <border>
      <left style="thin">
        <color rgb="FFA7A9AC"/>
      </left>
      <right/>
      <top style="thin">
        <color rgb="FFA7A9AC"/>
      </top>
      <bottom style="thin">
        <color rgb="FFA7A9AC"/>
      </bottom>
      <diagonal/>
    </border>
    <border>
      <left/>
      <right style="thin">
        <color rgb="FFA7A9AC"/>
      </right>
      <top style="thin">
        <color rgb="FFA7A9AC"/>
      </top>
      <bottom style="thin">
        <color rgb="FFB5B7BB"/>
      </bottom>
      <diagonal/>
    </border>
    <border>
      <left style="thin">
        <color rgb="FFA7A9AC"/>
      </left>
      <right style="thin">
        <color rgb="FFA7A9AC"/>
      </right>
      <top style="thin">
        <color rgb="FFA7A9AC"/>
      </top>
      <bottom style="thin">
        <color rgb="FFB5B7BB"/>
      </bottom>
      <diagonal/>
    </border>
    <border>
      <left style="thin">
        <color rgb="FFA7A9AC"/>
      </left>
      <right/>
      <top style="thin">
        <color rgb="FFA7A9AC"/>
      </top>
      <bottom style="thin">
        <color rgb="FFB5B7BB"/>
      </bottom>
      <diagonal/>
    </border>
    <border>
      <left/>
      <right/>
      <top style="thin">
        <color rgb="FFB5B7BB"/>
      </top>
      <bottom style="thin">
        <color rgb="FFB5B7BB"/>
      </bottom>
      <diagonal/>
    </border>
    <border>
      <left/>
      <right style="thin">
        <color rgb="FFA7A9AC"/>
      </right>
      <top style="thin">
        <color rgb="FFB5B7BB"/>
      </top>
      <bottom style="thin">
        <color rgb="FFA7A9AC"/>
      </bottom>
      <diagonal/>
    </border>
    <border>
      <left style="thin">
        <color rgb="FFA7A9AC"/>
      </left>
      <right style="thin">
        <color rgb="FFA7A9AC"/>
      </right>
      <top style="thin">
        <color rgb="FFB5B7BB"/>
      </top>
      <bottom style="thin">
        <color rgb="FFA7A9AC"/>
      </bottom>
      <diagonal/>
    </border>
    <border>
      <left style="thin">
        <color rgb="FFA7A9AC"/>
      </left>
      <right/>
      <top style="thin">
        <color rgb="FFB5B7BB"/>
      </top>
      <bottom style="thin">
        <color rgb="FFA7A9AC"/>
      </bottom>
      <diagonal/>
    </border>
    <border>
      <left/>
      <right/>
      <top style="thin">
        <color rgb="FFB5B7BB"/>
      </top>
      <bottom style="thin">
        <color rgb="FFA7A9AC"/>
      </bottom>
      <diagonal/>
    </border>
    <border>
      <left/>
      <right/>
      <top/>
      <bottom style="thin">
        <color rgb="FFA7A9AC"/>
      </bottom>
      <diagonal/>
    </border>
    <border>
      <left/>
      <right/>
      <top style="thin">
        <color rgb="FFA7A9AC"/>
      </top>
      <bottom style="thin">
        <color rgb="FFA7A9AC"/>
      </bottom>
      <diagonal/>
    </border>
    <border>
      <left/>
      <right style="thin">
        <color rgb="FFA7A9AC"/>
      </right>
      <top style="thin">
        <color rgb="FFA7A9AC"/>
      </top>
      <bottom style="thin">
        <color rgb="FF231F20"/>
      </bottom>
      <diagonal/>
    </border>
    <border>
      <left style="thin">
        <color rgb="FFA7A9AC"/>
      </left>
      <right style="thin">
        <color rgb="FFA7A9AC"/>
      </right>
      <top style="thin">
        <color rgb="FFA7A9AC"/>
      </top>
      <bottom style="thin">
        <color rgb="FF231F20"/>
      </bottom>
      <diagonal/>
    </border>
    <border>
      <left style="thin">
        <color rgb="FFA7A9AC"/>
      </left>
      <right/>
      <top style="thin">
        <color rgb="FFA7A9AC"/>
      </top>
      <bottom style="thin">
        <color rgb="FF231F20"/>
      </bottom>
      <diagonal/>
    </border>
    <border>
      <left style="thin">
        <color rgb="FF231F20"/>
      </left>
      <right style="thin">
        <color rgb="FFA7A9AC"/>
      </right>
      <top style="thin">
        <color rgb="FF231F20"/>
      </top>
      <bottom style="thin">
        <color rgb="FFA7A9AC"/>
      </bottom>
      <diagonal/>
    </border>
    <border>
      <left style="thin">
        <color rgb="FFA7A9AC"/>
      </left>
      <right style="thin">
        <color rgb="FFA7A9AC"/>
      </right>
      <top style="thin">
        <color rgb="FF231F20"/>
      </top>
      <bottom style="thin">
        <color rgb="FFA7A9AC"/>
      </bottom>
      <diagonal/>
    </border>
    <border>
      <left style="thin">
        <color rgb="FFA7A9AC"/>
      </left>
      <right/>
      <top style="thin">
        <color rgb="FF231F20"/>
      </top>
      <bottom style="thin">
        <color rgb="FFA7A9AC"/>
      </bottom>
      <diagonal/>
    </border>
    <border>
      <left/>
      <right style="thin">
        <color rgb="FFA7A9AC"/>
      </right>
      <top style="thin">
        <color rgb="FF231F20"/>
      </top>
      <bottom style="thin">
        <color rgb="FFA7A9AC"/>
      </bottom>
      <diagonal/>
    </border>
    <border>
      <left style="thin">
        <color rgb="FFA7A9AC"/>
      </left>
      <right style="thin">
        <color rgb="FF231F20"/>
      </right>
      <top style="thin">
        <color rgb="FF231F20"/>
      </top>
      <bottom style="thin">
        <color rgb="FFA7A9AC"/>
      </bottom>
      <diagonal/>
    </border>
    <border>
      <left style="thin">
        <color rgb="FF231F20"/>
      </left>
      <right/>
      <top/>
      <bottom/>
      <diagonal/>
    </border>
    <border>
      <left style="thin">
        <color rgb="FF231F20"/>
      </left>
      <right style="thin">
        <color rgb="FFA7A9AC"/>
      </right>
      <top style="thin">
        <color rgb="FFA7A9AC"/>
      </top>
      <bottom style="thin">
        <color rgb="FFA7A9AC"/>
      </bottom>
      <diagonal/>
    </border>
    <border>
      <left style="thin">
        <color rgb="FFA7A9AC"/>
      </left>
      <right style="thin">
        <color rgb="FF231F20"/>
      </right>
      <top style="thin">
        <color rgb="FFA7A9AC"/>
      </top>
      <bottom style="thin">
        <color rgb="FFA7A9AC"/>
      </bottom>
      <diagonal/>
    </border>
    <border>
      <left style="thin">
        <color rgb="FF231F20"/>
      </left>
      <right style="thin">
        <color rgb="FFA7A9AC"/>
      </right>
      <top style="thin">
        <color rgb="FFA7A9AC"/>
      </top>
      <bottom style="thin">
        <color rgb="FF231F20"/>
      </bottom>
      <diagonal/>
    </border>
    <border>
      <left style="thin">
        <color rgb="FFA7A9AC"/>
      </left>
      <right style="thin">
        <color rgb="FF231F20"/>
      </right>
      <top style="thin">
        <color rgb="FFA7A9AC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B5B7BB"/>
      </bottom>
      <diagonal/>
    </border>
    <border>
      <left/>
      <right style="thin">
        <color rgb="FF231F20"/>
      </right>
      <top/>
      <bottom/>
      <diagonal/>
    </border>
    <border>
      <left style="thin">
        <color rgb="FF231F20"/>
      </left>
      <right/>
      <top/>
      <bottom style="thin">
        <color rgb="FF231F20"/>
      </bottom>
      <diagonal/>
    </border>
    <border>
      <left/>
      <right/>
      <top style="thin">
        <color rgb="FFA7A9AC"/>
      </top>
      <bottom/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/>
      <right/>
      <top/>
      <bottom style="thin">
        <color rgb="FF231F20"/>
      </bottom>
      <diagonal/>
    </border>
    <border>
      <left style="thin">
        <color rgb="FF231F20"/>
      </left>
      <right style="thin">
        <color rgb="FFA7A9AC"/>
      </right>
      <top style="thin">
        <color rgb="FFA7A9AC"/>
      </top>
      <bottom/>
      <diagonal/>
    </border>
    <border>
      <left style="thin">
        <color rgb="FFA7A9AC"/>
      </left>
      <right style="thin">
        <color rgb="FFA7A9AC"/>
      </right>
      <top style="thin">
        <color rgb="FFA7A9AC"/>
      </top>
      <bottom/>
      <diagonal/>
    </border>
    <border>
      <left style="thin">
        <color rgb="FFA7A9AC"/>
      </left>
      <right style="thin">
        <color rgb="FFA7A9AC"/>
      </right>
      <top/>
      <bottom style="thin">
        <color rgb="FFA7A9AC"/>
      </bottom>
      <diagonal/>
    </border>
    <border>
      <left style="thin">
        <color rgb="FFA7A9AC"/>
      </left>
      <right/>
      <top style="thin">
        <color rgb="FFA7A9AC"/>
      </top>
      <bottom/>
      <diagonal/>
    </border>
    <border>
      <left/>
      <right style="thin">
        <color rgb="FFA7A9AC"/>
      </right>
      <top style="thin">
        <color rgb="FFA7A9AC"/>
      </top>
      <bottom/>
      <diagonal/>
    </border>
    <border>
      <left style="thin">
        <color rgb="FFA7A9AC"/>
      </left>
      <right/>
      <top/>
      <bottom style="thin">
        <color rgb="FFA7A9AC"/>
      </bottom>
      <diagonal/>
    </border>
    <border>
      <left/>
      <right style="thin">
        <color rgb="FFA7A9AC"/>
      </right>
      <top/>
      <bottom style="thin">
        <color rgb="FFA7A9AC"/>
      </bottom>
      <diagonal/>
    </border>
    <border>
      <left style="thin">
        <color rgb="FFA7A9AC"/>
      </left>
      <right style="thin">
        <color rgb="FF231F20"/>
      </right>
      <top style="thin">
        <color rgb="FFA7A9AC"/>
      </top>
      <bottom/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 style="thin">
        <color rgb="FFA7A9AC"/>
      </right>
      <top/>
      <bottom/>
      <diagonal/>
    </border>
    <border>
      <left style="thin">
        <color rgb="FFA7A9AC"/>
      </left>
      <right/>
      <top/>
      <bottom/>
      <diagonal/>
    </border>
    <border>
      <left style="thin">
        <color rgb="FFA7A9AC"/>
      </left>
      <right style="thin">
        <color rgb="FFA7A9AC"/>
      </right>
      <top/>
      <bottom/>
      <diagonal/>
    </border>
    <border>
      <left style="thin">
        <color rgb="FF231F20"/>
      </left>
      <right style="thin">
        <color rgb="FF231F20"/>
      </right>
      <top style="thin">
        <color rgb="FFA7A9AC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A7A9AC"/>
      </right>
      <top style="medium">
        <color indexed="64"/>
      </top>
      <bottom style="thin">
        <color rgb="FFA7A9AC"/>
      </bottom>
      <diagonal/>
    </border>
    <border>
      <left style="thin">
        <color rgb="FFA7A9AC"/>
      </left>
      <right style="thin">
        <color rgb="FFA7A9AC"/>
      </right>
      <top style="medium">
        <color indexed="64"/>
      </top>
      <bottom style="thin">
        <color rgb="FFA7A9AC"/>
      </bottom>
      <diagonal/>
    </border>
    <border>
      <left style="thin">
        <color rgb="FFA7A9AC"/>
      </left>
      <right/>
      <top style="medium">
        <color indexed="64"/>
      </top>
      <bottom style="thin">
        <color rgb="FFA7A9AC"/>
      </bottom>
      <diagonal/>
    </border>
    <border>
      <left/>
      <right style="thin">
        <color rgb="FFA7A9AC"/>
      </right>
      <top style="medium">
        <color indexed="64"/>
      </top>
      <bottom style="thin">
        <color rgb="FFA7A9AC"/>
      </bottom>
      <diagonal/>
    </border>
    <border>
      <left style="medium">
        <color indexed="64"/>
      </left>
      <right style="thin">
        <color rgb="FFA7A9AC"/>
      </right>
      <top style="thin">
        <color rgb="FFA7A9AC"/>
      </top>
      <bottom style="thin">
        <color rgb="FFA7A9AC"/>
      </bottom>
      <diagonal/>
    </border>
    <border>
      <left style="medium">
        <color indexed="64"/>
      </left>
      <right style="thin">
        <color rgb="FFA7A9AC"/>
      </right>
      <top style="thin">
        <color rgb="FFA7A9AC"/>
      </top>
      <bottom style="medium">
        <color indexed="64"/>
      </bottom>
      <diagonal/>
    </border>
    <border>
      <left style="thin">
        <color rgb="FFA7A9AC"/>
      </left>
      <right style="thin">
        <color rgb="FFA7A9AC"/>
      </right>
      <top style="thin">
        <color rgb="FFA7A9AC"/>
      </top>
      <bottom style="medium">
        <color indexed="64"/>
      </bottom>
      <diagonal/>
    </border>
    <border>
      <left style="thin">
        <color rgb="FFA7A9AC"/>
      </left>
      <right/>
      <top style="thin">
        <color rgb="FFA7A9AC"/>
      </top>
      <bottom style="medium">
        <color indexed="64"/>
      </bottom>
      <diagonal/>
    </border>
    <border>
      <left/>
      <right style="thin">
        <color rgb="FFA7A9AC"/>
      </right>
      <top style="thin">
        <color rgb="FFA7A9A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B5B7BB"/>
      </bottom>
      <diagonal/>
    </border>
    <border>
      <left style="thin">
        <color rgb="FFA7A9AC"/>
      </left>
      <right style="medium">
        <color indexed="64"/>
      </right>
      <top style="medium">
        <color indexed="64"/>
      </top>
      <bottom style="thin">
        <color rgb="FFA7A9AC"/>
      </bottom>
      <diagonal/>
    </border>
    <border>
      <left style="thin">
        <color rgb="FFA7A9AC"/>
      </left>
      <right style="medium">
        <color indexed="64"/>
      </right>
      <top style="thin">
        <color rgb="FFA7A9AC"/>
      </top>
      <bottom style="thin">
        <color rgb="FFA7A9AC"/>
      </bottom>
      <diagonal/>
    </border>
    <border>
      <left style="thin">
        <color rgb="FFA7A9AC"/>
      </left>
      <right style="medium">
        <color indexed="64"/>
      </right>
      <top style="thin">
        <color rgb="FFA7A9AC"/>
      </top>
      <bottom style="medium">
        <color indexed="64"/>
      </bottom>
      <diagonal/>
    </border>
    <border>
      <left style="thick">
        <color rgb="FF231F20"/>
      </left>
      <right/>
      <top/>
      <bottom style="thick">
        <color rgb="FF231F20"/>
      </bottom>
      <diagonal/>
    </border>
    <border>
      <left style="thick">
        <color rgb="FF231F2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A7A9AC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231F20"/>
      </top>
      <bottom/>
      <diagonal/>
    </border>
    <border>
      <left style="thin">
        <color rgb="FF231F20"/>
      </left>
      <right/>
      <top style="thin">
        <color rgb="FFA7A9AC"/>
      </top>
      <bottom style="thin">
        <color rgb="FF231F20"/>
      </bottom>
      <diagonal/>
    </border>
    <border>
      <left/>
      <right style="thin">
        <color rgb="FF231F20"/>
      </right>
      <top style="thin">
        <color rgb="FFA7A9AC"/>
      </top>
      <bottom style="thin">
        <color rgb="FF231F20"/>
      </bottom>
      <diagonal/>
    </border>
    <border>
      <left/>
      <right style="thin">
        <color rgb="FF231F20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3B2B2"/>
      </bottom>
      <diagonal/>
    </border>
    <border>
      <left style="thin">
        <color indexed="64"/>
      </left>
      <right/>
      <top/>
      <bottom style="thin">
        <color rgb="FFB3B2B2"/>
      </bottom>
      <diagonal/>
    </border>
    <border>
      <left/>
      <right style="thin">
        <color indexed="64"/>
      </right>
      <top/>
      <bottom style="thin">
        <color rgb="FFB3B2B2"/>
      </bottom>
      <diagonal/>
    </border>
    <border>
      <left style="thin">
        <color indexed="64"/>
      </left>
      <right/>
      <top style="thin">
        <color rgb="FFB3B2B2"/>
      </top>
      <bottom style="thin">
        <color indexed="64"/>
      </bottom>
      <diagonal/>
    </border>
    <border>
      <left/>
      <right/>
      <top style="thin">
        <color rgb="FFB3B2B2"/>
      </top>
      <bottom style="thin">
        <color indexed="64"/>
      </bottom>
      <diagonal/>
    </border>
    <border>
      <left style="medium">
        <color indexed="64"/>
      </left>
      <right style="thin">
        <color rgb="FFA7A9AC"/>
      </right>
      <top style="thin">
        <color rgb="FFA7A9AC"/>
      </top>
      <bottom/>
      <diagonal/>
    </border>
    <border>
      <left style="thin">
        <color rgb="FFA7A9AC"/>
      </left>
      <right style="medium">
        <color indexed="64"/>
      </right>
      <top style="thin">
        <color rgb="FFA7A9AC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rgb="FF231F2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B3B2B2"/>
      </left>
      <right style="medium">
        <color rgb="FFB3B2B2"/>
      </right>
      <top style="thick">
        <color rgb="FF009BA2"/>
      </top>
      <bottom style="medium">
        <color rgb="FFB3B2B2"/>
      </bottom>
      <diagonal/>
    </border>
    <border>
      <left/>
      <right style="medium">
        <color rgb="FFB3B2B2"/>
      </right>
      <top style="thick">
        <color rgb="FF009BA2"/>
      </top>
      <bottom style="medium">
        <color rgb="FFB3B2B2"/>
      </bottom>
      <diagonal/>
    </border>
    <border>
      <left/>
      <right/>
      <top style="thick">
        <color rgb="FF009BA2"/>
      </top>
      <bottom style="medium">
        <color rgb="FFB3B2B2"/>
      </bottom>
      <diagonal/>
    </border>
    <border>
      <left style="medium">
        <color rgb="FFB3B2B2"/>
      </left>
      <right style="medium">
        <color rgb="FFB3B2B2"/>
      </right>
      <top/>
      <bottom style="medium">
        <color rgb="FFB3B2B2"/>
      </bottom>
      <diagonal/>
    </border>
    <border>
      <left/>
      <right style="medium">
        <color rgb="FFB3B2B2"/>
      </right>
      <top/>
      <bottom style="medium">
        <color rgb="FFB3B2B2"/>
      </bottom>
      <diagonal/>
    </border>
    <border>
      <left/>
      <right/>
      <top/>
      <bottom style="medium">
        <color rgb="FFB3B2B2"/>
      </bottom>
      <diagonal/>
    </border>
    <border>
      <left style="medium">
        <color rgb="FFB3B2B2"/>
      </left>
      <right style="medium">
        <color rgb="FFB3B2B2"/>
      </right>
      <top/>
      <bottom style="thick">
        <color rgb="FF009BA2"/>
      </bottom>
      <diagonal/>
    </border>
    <border>
      <left/>
      <right style="medium">
        <color rgb="FFB3B2B2"/>
      </right>
      <top/>
      <bottom style="thick">
        <color rgb="FF009BA2"/>
      </bottom>
      <diagonal/>
    </border>
    <border>
      <left/>
      <right/>
      <top/>
      <bottom style="thick">
        <color rgb="FF009BA2"/>
      </bottom>
      <diagonal/>
    </border>
  </borders>
  <cellStyleXfs count="4">
    <xf numFmtId="0" fontId="0" fillId="0" borderId="0"/>
    <xf numFmtId="9" fontId="28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35" fillId="0" borderId="0" applyFont="0" applyFill="0" applyBorder="0" applyAlignment="0" applyProtection="0"/>
  </cellStyleXfs>
  <cellXfs count="103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right" vertical="top" indent="2" shrinkToFit="1"/>
    </xf>
    <xf numFmtId="1" fontId="4" fillId="0" borderId="3" xfId="0" applyNumberFormat="1" applyFont="1" applyBorder="1" applyAlignment="1">
      <alignment horizontal="left" vertical="top" indent="2" shrinkToFit="1"/>
    </xf>
    <xf numFmtId="0" fontId="0" fillId="0" borderId="3" xfId="0" applyBorder="1" applyAlignment="1">
      <alignment horizontal="left" wrapText="1"/>
    </xf>
    <xf numFmtId="1" fontId="4" fillId="7" borderId="2" xfId="0" applyNumberFormat="1" applyFont="1" applyFill="1" applyBorder="1" applyAlignment="1">
      <alignment horizontal="center" vertical="top" shrinkToFit="1"/>
    </xf>
    <xf numFmtId="1" fontId="5" fillId="7" borderId="3" xfId="0" applyNumberFormat="1" applyFont="1" applyFill="1" applyBorder="1" applyAlignment="1">
      <alignment horizontal="center" vertical="top" shrinkToFit="1"/>
    </xf>
    <xf numFmtId="1" fontId="5" fillId="7" borderId="3" xfId="0" applyNumberFormat="1" applyFont="1" applyFill="1" applyBorder="1" applyAlignment="1">
      <alignment horizontal="right" vertical="top" indent="2" shrinkToFit="1"/>
    </xf>
    <xf numFmtId="1" fontId="5" fillId="7" borderId="3" xfId="0" applyNumberFormat="1" applyFont="1" applyFill="1" applyBorder="1" applyAlignment="1">
      <alignment horizontal="left" vertical="top" indent="2" shrinkToFit="1"/>
    </xf>
    <xf numFmtId="1" fontId="4" fillId="7" borderId="3" xfId="0" applyNumberFormat="1" applyFont="1" applyFill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right" vertical="top" indent="2" shrinkToFit="1"/>
    </xf>
    <xf numFmtId="1" fontId="5" fillId="0" borderId="3" xfId="0" applyNumberFormat="1" applyFont="1" applyBorder="1" applyAlignment="1">
      <alignment horizontal="left" vertical="top" indent="2" shrinkToFit="1"/>
    </xf>
    <xf numFmtId="0" fontId="0" fillId="7" borderId="3" xfId="0" applyFill="1" applyBorder="1" applyAlignment="1">
      <alignment horizontal="left" wrapText="1"/>
    </xf>
    <xf numFmtId="1" fontId="4" fillId="0" borderId="5" xfId="0" applyNumberFormat="1" applyFont="1" applyBorder="1" applyAlignment="1">
      <alignment horizontal="center" vertical="top" shrinkToFit="1"/>
    </xf>
    <xf numFmtId="1" fontId="5" fillId="0" borderId="6" xfId="0" applyNumberFormat="1" applyFont="1" applyBorder="1" applyAlignment="1">
      <alignment horizontal="center" vertical="top" shrinkToFit="1"/>
    </xf>
    <xf numFmtId="1" fontId="5" fillId="0" borderId="6" xfId="0" applyNumberFormat="1" applyFont="1" applyBorder="1" applyAlignment="1">
      <alignment horizontal="right" vertical="top" indent="2" shrinkToFit="1"/>
    </xf>
    <xf numFmtId="1" fontId="5" fillId="0" borderId="6" xfId="0" applyNumberFormat="1" applyFont="1" applyBorder="1" applyAlignment="1">
      <alignment horizontal="left" vertical="top" indent="2" shrinkToFit="1"/>
    </xf>
    <xf numFmtId="0" fontId="0" fillId="0" borderId="6" xfId="0" applyBorder="1" applyAlignment="1">
      <alignment horizontal="left" wrapText="1"/>
    </xf>
    <xf numFmtId="1" fontId="4" fillId="0" borderId="6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center" vertical="top" wrapText="1"/>
    </xf>
    <xf numFmtId="1" fontId="4" fillId="0" borderId="10" xfId="0" applyNumberFormat="1" applyFont="1" applyBorder="1" applyAlignment="1">
      <alignment horizontal="center" vertical="top" shrinkToFit="1"/>
    </xf>
    <xf numFmtId="1" fontId="4" fillId="0" borderId="10" xfId="0" applyNumberFormat="1" applyFont="1" applyBorder="1" applyAlignment="1">
      <alignment horizontal="right" vertical="top" indent="2" shrinkToFit="1"/>
    </xf>
    <xf numFmtId="1" fontId="4" fillId="0" borderId="10" xfId="0" applyNumberFormat="1" applyFont="1" applyBorder="1" applyAlignment="1">
      <alignment horizontal="left" vertical="top" indent="2" shrinkToFit="1"/>
    </xf>
    <xf numFmtId="0" fontId="0" fillId="0" borderId="10" xfId="0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6" fillId="7" borderId="2" xfId="0" applyFont="1" applyFill="1" applyBorder="1" applyAlignment="1">
      <alignment horizontal="center" vertical="top" wrapText="1"/>
    </xf>
    <xf numFmtId="1" fontId="4" fillId="7" borderId="3" xfId="0" applyNumberFormat="1" applyFont="1" applyFill="1" applyBorder="1" applyAlignment="1">
      <alignment horizontal="right" vertical="top" indent="2" shrinkToFit="1"/>
    </xf>
    <xf numFmtId="1" fontId="4" fillId="7" borderId="3" xfId="0" applyNumberFormat="1" applyFont="1" applyFill="1" applyBorder="1" applyAlignment="1">
      <alignment horizontal="left" vertical="top" indent="2" shrinkToFit="1"/>
    </xf>
    <xf numFmtId="0" fontId="6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 wrapText="1"/>
    </xf>
    <xf numFmtId="2" fontId="5" fillId="0" borderId="3" xfId="0" applyNumberFormat="1" applyFont="1" applyBorder="1" applyAlignment="1">
      <alignment horizontal="right" vertical="top" shrinkToFit="1"/>
    </xf>
    <xf numFmtId="0" fontId="8" fillId="7" borderId="3" xfId="0" applyFont="1" applyFill="1" applyBorder="1" applyAlignment="1">
      <alignment horizontal="left" vertical="top" wrapText="1"/>
    </xf>
    <xf numFmtId="2" fontId="5" fillId="7" borderId="3" xfId="0" applyNumberFormat="1" applyFont="1" applyFill="1" applyBorder="1" applyAlignment="1">
      <alignment horizontal="right" vertical="top" shrinkToFit="1"/>
    </xf>
    <xf numFmtId="1" fontId="4" fillId="0" borderId="3" xfId="0" applyNumberFormat="1" applyFont="1" applyBorder="1" applyAlignment="1">
      <alignment horizontal="right" vertical="top" indent="1" shrinkToFit="1"/>
    </xf>
    <xf numFmtId="1" fontId="4" fillId="0" borderId="3" xfId="0" applyNumberFormat="1" applyFont="1" applyBorder="1" applyAlignment="1">
      <alignment horizontal="left" vertical="top" indent="1" shrinkToFit="1"/>
    </xf>
    <xf numFmtId="1" fontId="5" fillId="7" borderId="3" xfId="0" applyNumberFormat="1" applyFont="1" applyFill="1" applyBorder="1" applyAlignment="1">
      <alignment horizontal="right" vertical="top" indent="1" shrinkToFit="1"/>
    </xf>
    <xf numFmtId="1" fontId="5" fillId="7" borderId="3" xfId="0" applyNumberFormat="1" applyFont="1" applyFill="1" applyBorder="1" applyAlignment="1">
      <alignment horizontal="left" vertical="top" indent="1" shrinkToFit="1"/>
    </xf>
    <xf numFmtId="1" fontId="4" fillId="7" borderId="3" xfId="0" applyNumberFormat="1" applyFont="1" applyFill="1" applyBorder="1" applyAlignment="1">
      <alignment horizontal="left" vertical="top" shrinkToFit="1"/>
    </xf>
    <xf numFmtId="1" fontId="5" fillId="0" borderId="3" xfId="0" applyNumberFormat="1" applyFont="1" applyBorder="1" applyAlignment="1">
      <alignment horizontal="right" vertical="top" indent="1" shrinkToFit="1"/>
    </xf>
    <xf numFmtId="1" fontId="5" fillId="0" borderId="3" xfId="0" applyNumberFormat="1" applyFont="1" applyBorder="1" applyAlignment="1">
      <alignment horizontal="left" vertical="top" indent="1" shrinkToFit="1"/>
    </xf>
    <xf numFmtId="1" fontId="4" fillId="0" borderId="3" xfId="0" applyNumberFormat="1" applyFont="1" applyBorder="1" applyAlignment="1">
      <alignment horizontal="left" vertical="top" shrinkToFit="1"/>
    </xf>
    <xf numFmtId="1" fontId="5" fillId="0" borderId="6" xfId="0" applyNumberFormat="1" applyFont="1" applyBorder="1" applyAlignment="1">
      <alignment horizontal="right" vertical="top" indent="1" shrinkToFit="1"/>
    </xf>
    <xf numFmtId="1" fontId="5" fillId="0" borderId="6" xfId="0" applyNumberFormat="1" applyFont="1" applyBorder="1" applyAlignment="1">
      <alignment horizontal="left" vertical="top" indent="1" shrinkToFit="1"/>
    </xf>
    <xf numFmtId="1" fontId="4" fillId="0" borderId="6" xfId="0" applyNumberFormat="1" applyFont="1" applyBorder="1" applyAlignment="1">
      <alignment horizontal="left" vertical="top" shrinkToFit="1"/>
    </xf>
    <xf numFmtId="1" fontId="4" fillId="0" borderId="10" xfId="0" applyNumberFormat="1" applyFont="1" applyBorder="1" applyAlignment="1">
      <alignment horizontal="right" vertical="top" indent="1" shrinkToFit="1"/>
    </xf>
    <xf numFmtId="1" fontId="4" fillId="0" borderId="10" xfId="0" applyNumberFormat="1" applyFont="1" applyBorder="1" applyAlignment="1">
      <alignment horizontal="left" vertical="top" indent="1" shrinkToFit="1"/>
    </xf>
    <xf numFmtId="1" fontId="5" fillId="0" borderId="3" xfId="0" applyNumberFormat="1" applyFont="1" applyBorder="1" applyAlignment="1">
      <alignment horizontal="left" vertical="top" shrinkToFit="1"/>
    </xf>
    <xf numFmtId="1" fontId="5" fillId="7" borderId="3" xfId="0" applyNumberFormat="1" applyFont="1" applyFill="1" applyBorder="1" applyAlignment="1">
      <alignment horizontal="left" vertical="top" shrinkToFit="1"/>
    </xf>
    <xf numFmtId="1" fontId="4" fillId="7" borderId="15" xfId="0" applyNumberFormat="1" applyFont="1" applyFill="1" applyBorder="1" applyAlignment="1">
      <alignment horizontal="center" vertical="top" shrinkToFit="1"/>
    </xf>
    <xf numFmtId="1" fontId="5" fillId="7" borderId="16" xfId="0" applyNumberFormat="1" applyFont="1" applyFill="1" applyBorder="1" applyAlignment="1">
      <alignment horizontal="right" vertical="top" indent="1" shrinkToFit="1"/>
    </xf>
    <xf numFmtId="1" fontId="5" fillId="7" borderId="16" xfId="0" applyNumberFormat="1" applyFont="1" applyFill="1" applyBorder="1" applyAlignment="1">
      <alignment horizontal="center" vertical="top" shrinkToFit="1"/>
    </xf>
    <xf numFmtId="1" fontId="5" fillId="7" borderId="16" xfId="0" applyNumberFormat="1" applyFont="1" applyFill="1" applyBorder="1" applyAlignment="1">
      <alignment horizontal="left" vertical="top" indent="1" shrinkToFit="1"/>
    </xf>
    <xf numFmtId="1" fontId="5" fillId="7" borderId="16" xfId="0" applyNumberFormat="1" applyFont="1" applyFill="1" applyBorder="1" applyAlignment="1">
      <alignment horizontal="right" vertical="top" shrinkToFit="1"/>
    </xf>
    <xf numFmtId="0" fontId="0" fillId="7" borderId="16" xfId="0" applyFill="1" applyBorder="1" applyAlignment="1">
      <alignment horizontal="left" wrapText="1"/>
    </xf>
    <xf numFmtId="1" fontId="4" fillId="7" borderId="16" xfId="0" applyNumberFormat="1" applyFont="1" applyFill="1" applyBorder="1" applyAlignment="1">
      <alignment horizontal="left" vertical="top" shrinkToFit="1"/>
    </xf>
    <xf numFmtId="1" fontId="4" fillId="0" borderId="18" xfId="0" applyNumberFormat="1" applyFont="1" applyBorder="1" applyAlignment="1">
      <alignment horizontal="center" vertical="top" shrinkToFit="1"/>
    </xf>
    <xf numFmtId="1" fontId="5" fillId="0" borderId="19" xfId="0" applyNumberFormat="1" applyFont="1" applyBorder="1" applyAlignment="1">
      <alignment horizontal="right" vertical="top" indent="1" shrinkToFit="1"/>
    </xf>
    <xf numFmtId="1" fontId="5" fillId="0" borderId="19" xfId="0" applyNumberFormat="1" applyFont="1" applyBorder="1" applyAlignment="1">
      <alignment horizontal="center" vertical="top" shrinkToFit="1"/>
    </xf>
    <xf numFmtId="1" fontId="5" fillId="0" borderId="19" xfId="0" applyNumberFormat="1" applyFont="1" applyBorder="1" applyAlignment="1">
      <alignment horizontal="left" vertical="top" indent="1" shrinkToFit="1"/>
    </xf>
    <xf numFmtId="0" fontId="0" fillId="0" borderId="19" xfId="0" applyBorder="1" applyAlignment="1">
      <alignment horizontal="left" wrapText="1"/>
    </xf>
    <xf numFmtId="1" fontId="4" fillId="0" borderId="22" xfId="0" applyNumberFormat="1" applyFont="1" applyBorder="1" applyAlignment="1">
      <alignment horizontal="left" vertical="top" shrinkToFit="1"/>
    </xf>
    <xf numFmtId="1" fontId="4" fillId="7" borderId="24" xfId="0" applyNumberFormat="1" applyFont="1" applyFill="1" applyBorder="1" applyAlignment="1">
      <alignment horizontal="center" vertical="top" shrinkToFit="1"/>
    </xf>
    <xf numFmtId="1" fontId="4" fillId="7" borderId="25" xfId="0" applyNumberFormat="1" applyFont="1" applyFill="1" applyBorder="1" applyAlignment="1">
      <alignment horizontal="left" vertical="top" shrinkToFit="1"/>
    </xf>
    <xf numFmtId="1" fontId="4" fillId="0" borderId="26" xfId="0" applyNumberFormat="1" applyFont="1" applyBorder="1" applyAlignment="1">
      <alignment horizontal="center" vertical="top" shrinkToFit="1"/>
    </xf>
    <xf numFmtId="1" fontId="5" fillId="0" borderId="16" xfId="0" applyNumberFormat="1" applyFont="1" applyBorder="1" applyAlignment="1">
      <alignment horizontal="right" vertical="top" indent="1" shrinkToFit="1"/>
    </xf>
    <xf numFmtId="1" fontId="5" fillId="0" borderId="16" xfId="0" applyNumberFormat="1" applyFont="1" applyBorder="1" applyAlignment="1">
      <alignment horizontal="center" vertical="top" shrinkToFit="1"/>
    </xf>
    <xf numFmtId="1" fontId="5" fillId="0" borderId="16" xfId="0" applyNumberFormat="1" applyFont="1" applyBorder="1" applyAlignment="1">
      <alignment horizontal="left" vertical="top" indent="1" shrinkToFit="1"/>
    </xf>
    <xf numFmtId="0" fontId="0" fillId="0" borderId="16" xfId="0" applyBorder="1" applyAlignment="1">
      <alignment horizontal="left" wrapText="1"/>
    </xf>
    <xf numFmtId="1" fontId="4" fillId="0" borderId="27" xfId="0" applyNumberFormat="1" applyFont="1" applyBorder="1" applyAlignment="1">
      <alignment horizontal="left" vertical="top" shrinkToFit="1"/>
    </xf>
    <xf numFmtId="0" fontId="0" fillId="3" borderId="10" xfId="0" applyFill="1" applyBorder="1" applyAlignment="1">
      <alignment horizontal="left" wrapText="1"/>
    </xf>
    <xf numFmtId="1" fontId="4" fillId="7" borderId="3" xfId="0" applyNumberFormat="1" applyFont="1" applyFill="1" applyBorder="1" applyAlignment="1">
      <alignment horizontal="right" vertical="top" indent="1" shrinkToFit="1"/>
    </xf>
    <xf numFmtId="1" fontId="4" fillId="7" borderId="3" xfId="0" applyNumberFormat="1" applyFont="1" applyFill="1" applyBorder="1" applyAlignment="1">
      <alignment horizontal="left" vertical="top" indent="1" shrinkToFi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horizontal="left" wrapText="1"/>
    </xf>
    <xf numFmtId="0" fontId="0" fillId="0" borderId="3" xfId="0" applyBorder="1" applyAlignment="1">
      <alignment horizontal="right" vertical="top" wrapText="1"/>
    </xf>
    <xf numFmtId="1" fontId="5" fillId="7" borderId="3" xfId="0" applyNumberFormat="1" applyFont="1" applyFill="1" applyBorder="1" applyAlignment="1">
      <alignment horizontal="right" vertical="top" shrinkToFit="1"/>
    </xf>
    <xf numFmtId="1" fontId="5" fillId="0" borderId="3" xfId="0" applyNumberFormat="1" applyFont="1" applyBorder="1" applyAlignment="1">
      <alignment horizontal="right" vertical="top" shrinkToFit="1"/>
    </xf>
    <xf numFmtId="1" fontId="4" fillId="0" borderId="16" xfId="0" applyNumberFormat="1" applyFont="1" applyBorder="1" applyAlignment="1">
      <alignment horizontal="right" vertical="top" indent="1" shrinkToFit="1"/>
    </xf>
    <xf numFmtId="1" fontId="5" fillId="0" borderId="16" xfId="0" applyNumberFormat="1" applyFont="1" applyBorder="1" applyAlignment="1">
      <alignment horizontal="right" vertical="top" shrinkToFit="1"/>
    </xf>
    <xf numFmtId="1" fontId="5" fillId="0" borderId="16" xfId="0" applyNumberFormat="1" applyFont="1" applyBorder="1" applyAlignment="1">
      <alignment horizontal="left" vertical="top" shrinkToFit="1"/>
    </xf>
    <xf numFmtId="1" fontId="4" fillId="0" borderId="16" xfId="0" applyNumberFormat="1" applyFont="1" applyBorder="1" applyAlignment="1">
      <alignment horizontal="center" vertical="top" shrinkToFit="1"/>
    </xf>
    <xf numFmtId="1" fontId="4" fillId="7" borderId="18" xfId="0" applyNumberFormat="1" applyFont="1" applyFill="1" applyBorder="1" applyAlignment="1">
      <alignment horizontal="right" vertical="top" indent="1" shrinkToFit="1"/>
    </xf>
    <xf numFmtId="1" fontId="5" fillId="7" borderId="19" xfId="0" applyNumberFormat="1" applyFont="1" applyFill="1" applyBorder="1" applyAlignment="1">
      <alignment horizontal="center" vertical="top" shrinkToFit="1"/>
    </xf>
    <xf numFmtId="1" fontId="5" fillId="7" borderId="19" xfId="0" applyNumberFormat="1" applyFont="1" applyFill="1" applyBorder="1" applyAlignment="1">
      <alignment horizontal="left" vertical="top" indent="1" shrinkToFit="1"/>
    </xf>
    <xf numFmtId="1" fontId="5" fillId="7" borderId="19" xfId="0" applyNumberFormat="1" applyFont="1" applyFill="1" applyBorder="1" applyAlignment="1">
      <alignment horizontal="right" vertical="top" indent="1" shrinkToFit="1"/>
    </xf>
    <xf numFmtId="1" fontId="5" fillId="7" borderId="19" xfId="0" applyNumberFormat="1" applyFont="1" applyFill="1" applyBorder="1" applyAlignment="1">
      <alignment horizontal="right" vertical="top" shrinkToFit="1"/>
    </xf>
    <xf numFmtId="1" fontId="5" fillId="7" borderId="19" xfId="0" applyNumberFormat="1" applyFont="1" applyFill="1" applyBorder="1" applyAlignment="1">
      <alignment horizontal="left" vertical="top" shrinkToFit="1"/>
    </xf>
    <xf numFmtId="1" fontId="4" fillId="7" borderId="22" xfId="0" applyNumberFormat="1" applyFont="1" applyFill="1" applyBorder="1" applyAlignment="1">
      <alignment horizontal="center" vertical="top" shrinkToFit="1"/>
    </xf>
    <xf numFmtId="1" fontId="4" fillId="0" borderId="24" xfId="0" applyNumberFormat="1" applyFont="1" applyBorder="1" applyAlignment="1">
      <alignment horizontal="right" vertical="top" indent="1" shrinkToFit="1"/>
    </xf>
    <xf numFmtId="1" fontId="4" fillId="0" borderId="25" xfId="0" applyNumberFormat="1" applyFont="1" applyBorder="1" applyAlignment="1">
      <alignment horizontal="center" vertical="top" shrinkToFit="1"/>
    </xf>
    <xf numFmtId="1" fontId="4" fillId="7" borderId="24" xfId="0" applyNumberFormat="1" applyFont="1" applyFill="1" applyBorder="1" applyAlignment="1">
      <alignment horizontal="right" vertical="top" indent="1" shrinkToFit="1"/>
    </xf>
    <xf numFmtId="1" fontId="4" fillId="7" borderId="25" xfId="0" applyNumberFormat="1" applyFont="1" applyFill="1" applyBorder="1" applyAlignment="1">
      <alignment horizontal="center" vertical="top" shrinkToFit="1"/>
    </xf>
    <xf numFmtId="1" fontId="4" fillId="7" borderId="26" xfId="0" applyNumberFormat="1" applyFont="1" applyFill="1" applyBorder="1" applyAlignment="1">
      <alignment horizontal="right" vertical="top" indent="1" shrinkToFit="1"/>
    </xf>
    <xf numFmtId="1" fontId="5" fillId="7" borderId="16" xfId="0" applyNumberFormat="1" applyFont="1" applyFill="1" applyBorder="1" applyAlignment="1">
      <alignment horizontal="left" vertical="top" shrinkToFit="1"/>
    </xf>
    <xf numFmtId="1" fontId="4" fillId="7" borderId="27" xfId="0" applyNumberFormat="1" applyFont="1" applyFill="1" applyBorder="1" applyAlignment="1">
      <alignment horizontal="center" vertical="top" shrinkToFit="1"/>
    </xf>
    <xf numFmtId="0" fontId="6" fillId="0" borderId="3" xfId="0" applyFont="1" applyBorder="1" applyAlignment="1">
      <alignment horizontal="center" vertical="top" wrapText="1"/>
    </xf>
    <xf numFmtId="0" fontId="6" fillId="7" borderId="3" xfId="0" applyFont="1" applyFill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/>
    </xf>
    <xf numFmtId="0" fontId="0" fillId="3" borderId="10" xfId="0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top" wrapText="1"/>
    </xf>
    <xf numFmtId="0" fontId="6" fillId="7" borderId="3" xfId="0" applyFont="1" applyFill="1" applyBorder="1" applyAlignment="1">
      <alignment horizontal="right" vertical="top" wrapText="1"/>
    </xf>
    <xf numFmtId="0" fontId="0" fillId="0" borderId="3" xfId="0" applyBorder="1" applyAlignment="1">
      <alignment horizontal="center" vertical="top" wrapText="1"/>
    </xf>
    <xf numFmtId="2" fontId="5" fillId="0" borderId="3" xfId="0" applyNumberFormat="1" applyFont="1" applyBorder="1" applyAlignment="1">
      <alignment horizontal="left" vertical="top" indent="2" shrinkToFit="1"/>
    </xf>
    <xf numFmtId="2" fontId="5" fillId="7" borderId="3" xfId="0" applyNumberFormat="1" applyFont="1" applyFill="1" applyBorder="1" applyAlignment="1">
      <alignment horizontal="left" vertical="top" indent="2" shrinkToFit="1"/>
    </xf>
    <xf numFmtId="2" fontId="5" fillId="0" borderId="3" xfId="0" applyNumberFormat="1" applyFont="1" applyBorder="1" applyAlignment="1">
      <alignment horizontal="left" vertical="top" indent="1" shrinkToFit="1"/>
    </xf>
    <xf numFmtId="0" fontId="0" fillId="7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3" borderId="3" xfId="0" applyFill="1" applyBorder="1" applyAlignment="1">
      <alignment horizontal="left" wrapText="1"/>
    </xf>
    <xf numFmtId="0" fontId="6" fillId="3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7" borderId="3" xfId="0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left" vertical="top" wrapText="1" indent="1"/>
    </xf>
    <xf numFmtId="0" fontId="6" fillId="7" borderId="3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top" wrapText="1"/>
    </xf>
    <xf numFmtId="2" fontId="5" fillId="0" borderId="3" xfId="0" applyNumberFormat="1" applyFont="1" applyBorder="1" applyAlignment="1">
      <alignment horizontal="center" vertical="top" shrinkToFit="1"/>
    </xf>
    <xf numFmtId="2" fontId="5" fillId="0" borderId="3" xfId="0" applyNumberFormat="1" applyFont="1" applyBorder="1" applyAlignment="1">
      <alignment horizontal="right" vertical="top" indent="2" shrinkToFit="1"/>
    </xf>
    <xf numFmtId="0" fontId="8" fillId="7" borderId="3" xfId="0" applyFont="1" applyFill="1" applyBorder="1" applyAlignment="1">
      <alignment horizontal="center" vertical="top" wrapText="1"/>
    </xf>
    <xf numFmtId="2" fontId="5" fillId="7" borderId="3" xfId="0" applyNumberFormat="1" applyFont="1" applyFill="1" applyBorder="1" applyAlignment="1">
      <alignment horizontal="right" vertical="top" indent="2" shrinkToFit="1"/>
    </xf>
    <xf numFmtId="2" fontId="5" fillId="7" borderId="3" xfId="0" applyNumberFormat="1" applyFont="1" applyFill="1" applyBorder="1" applyAlignment="1">
      <alignment horizontal="center" vertical="top" shrinkToFit="1"/>
    </xf>
    <xf numFmtId="0" fontId="6" fillId="7" borderId="6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right" vertical="top" wrapText="1" indent="1"/>
    </xf>
    <xf numFmtId="0" fontId="8" fillId="7" borderId="3" xfId="0" applyFont="1" applyFill="1" applyBorder="1" applyAlignment="1">
      <alignment horizontal="right" vertical="top" wrapText="1" indent="1"/>
    </xf>
    <xf numFmtId="9" fontId="5" fillId="0" borderId="3" xfId="0" applyNumberFormat="1" applyFont="1" applyBorder="1" applyAlignment="1">
      <alignment horizontal="center" vertical="top" shrinkToFit="1"/>
    </xf>
    <xf numFmtId="9" fontId="5" fillId="7" borderId="3" xfId="0" applyNumberFormat="1" applyFont="1" applyFill="1" applyBorder="1" applyAlignment="1">
      <alignment horizontal="center" vertical="top" shrinkToFit="1"/>
    </xf>
    <xf numFmtId="0" fontId="8" fillId="0" borderId="3" xfId="0" applyFont="1" applyBorder="1" applyAlignment="1">
      <alignment horizontal="left" vertical="top" wrapText="1" indent="2"/>
    </xf>
    <xf numFmtId="9" fontId="5" fillId="0" borderId="3" xfId="0" applyNumberFormat="1" applyFont="1" applyBorder="1" applyAlignment="1">
      <alignment horizontal="left" vertical="top" indent="2" shrinkToFit="1"/>
    </xf>
    <xf numFmtId="0" fontId="6" fillId="4" borderId="3" xfId="0" applyFont="1" applyFill="1" applyBorder="1" applyAlignment="1">
      <alignment horizontal="right" vertical="top" wrapText="1" indent="1"/>
    </xf>
    <xf numFmtId="0" fontId="6" fillId="4" borderId="3" xfId="0" applyFont="1" applyFill="1" applyBorder="1" applyAlignment="1">
      <alignment horizontal="center" vertical="top" wrapText="1"/>
    </xf>
    <xf numFmtId="1" fontId="10" fillId="4" borderId="3" xfId="0" applyNumberFormat="1" applyFont="1" applyFill="1" applyBorder="1" applyAlignment="1">
      <alignment horizontal="right" vertical="top" indent="2" shrinkToFit="1"/>
    </xf>
    <xf numFmtId="1" fontId="10" fillId="4" borderId="3" xfId="0" applyNumberFormat="1" applyFont="1" applyFill="1" applyBorder="1" applyAlignment="1">
      <alignment horizontal="center" vertical="top" shrinkToFit="1"/>
    </xf>
    <xf numFmtId="164" fontId="5" fillId="7" borderId="3" xfId="0" applyNumberFormat="1" applyFont="1" applyFill="1" applyBorder="1" applyAlignment="1">
      <alignment horizontal="right" vertical="top" shrinkToFit="1"/>
    </xf>
    <xf numFmtId="1" fontId="4" fillId="0" borderId="3" xfId="0" applyNumberFormat="1" applyFont="1" applyBorder="1" applyAlignment="1">
      <alignment horizontal="right" vertical="top" shrinkToFit="1"/>
    </xf>
    <xf numFmtId="1" fontId="4" fillId="7" borderId="3" xfId="0" applyNumberFormat="1" applyFont="1" applyFill="1" applyBorder="1" applyAlignment="1">
      <alignment horizontal="right" vertical="top" shrinkToFit="1"/>
    </xf>
    <xf numFmtId="0" fontId="0" fillId="0" borderId="3" xfId="0" applyBorder="1" applyAlignment="1">
      <alignment horizontal="right" vertical="top" wrapText="1" indent="1"/>
    </xf>
    <xf numFmtId="0" fontId="6" fillId="7" borderId="3" xfId="0" applyFont="1" applyFill="1" applyBorder="1" applyAlignment="1">
      <alignment horizontal="left" vertical="top" wrapText="1" indent="2"/>
    </xf>
    <xf numFmtId="0" fontId="6" fillId="6" borderId="3" xfId="0" applyFont="1" applyFill="1" applyBorder="1" applyAlignment="1">
      <alignment horizontal="center" vertical="top" wrapText="1"/>
    </xf>
    <xf numFmtId="0" fontId="0" fillId="6" borderId="3" xfId="0" applyFill="1" applyBorder="1" applyAlignment="1">
      <alignment horizontal="left" wrapText="1"/>
    </xf>
    <xf numFmtId="1" fontId="10" fillId="6" borderId="3" xfId="0" applyNumberFormat="1" applyFont="1" applyFill="1" applyBorder="1" applyAlignment="1">
      <alignment horizontal="center" vertical="top" shrinkToFit="1"/>
    </xf>
    <xf numFmtId="0" fontId="11" fillId="0" borderId="3" xfId="0" applyFont="1" applyBorder="1" applyAlignment="1">
      <alignment horizontal="left" textRotation="90" wrapText="1"/>
    </xf>
    <xf numFmtId="0" fontId="6" fillId="6" borderId="3" xfId="0" applyFont="1" applyFill="1" applyBorder="1" applyAlignment="1">
      <alignment horizontal="right" vertical="top" wrapText="1"/>
    </xf>
    <xf numFmtId="1" fontId="5" fillId="0" borderId="46" xfId="0" applyNumberFormat="1" applyFont="1" applyBorder="1" applyAlignment="1">
      <alignment horizontal="left" vertical="top" shrinkToFit="1"/>
    </xf>
    <xf numFmtId="2" fontId="5" fillId="0" borderId="46" xfId="0" applyNumberFormat="1" applyFont="1" applyBorder="1" applyAlignment="1">
      <alignment horizontal="right" vertical="top" shrinkToFit="1"/>
    </xf>
    <xf numFmtId="1" fontId="5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right" vertical="top" shrinkToFit="1"/>
    </xf>
    <xf numFmtId="1" fontId="4" fillId="7" borderId="35" xfId="0" applyNumberFormat="1" applyFont="1" applyFill="1" applyBorder="1" applyAlignment="1">
      <alignment horizontal="left" vertical="top" indent="1" shrinkToFit="1"/>
    </xf>
    <xf numFmtId="1" fontId="5" fillId="7" borderId="35" xfId="0" applyNumberFormat="1" applyFont="1" applyFill="1" applyBorder="1" applyAlignment="1">
      <alignment horizontal="left" vertical="top" indent="1" shrinkToFit="1"/>
    </xf>
    <xf numFmtId="1" fontId="5" fillId="7" borderId="35" xfId="0" applyNumberFormat="1" applyFont="1" applyFill="1" applyBorder="1" applyAlignment="1">
      <alignment horizontal="left" vertical="top" shrinkToFit="1"/>
    </xf>
    <xf numFmtId="0" fontId="0" fillId="3" borderId="1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wrapText="1"/>
    </xf>
    <xf numFmtId="0" fontId="0" fillId="0" borderId="0" xfId="0"/>
    <xf numFmtId="1" fontId="4" fillId="0" borderId="4" xfId="0" applyNumberFormat="1" applyFont="1" applyBorder="1" applyAlignment="1">
      <alignment horizontal="left" vertical="top" indent="1" shrinkToFit="1"/>
    </xf>
    <xf numFmtId="1" fontId="5" fillId="0" borderId="4" xfId="0" applyNumberFormat="1" applyFont="1" applyBorder="1" applyAlignment="1">
      <alignment horizontal="left" vertical="top" indent="1" shrinkToFit="1"/>
    </xf>
    <xf numFmtId="1" fontId="4" fillId="0" borderId="6" xfId="0" applyNumberFormat="1" applyFont="1" applyBorder="1" applyAlignment="1">
      <alignment horizontal="left" vertical="top" indent="1" shrinkToFit="1"/>
    </xf>
    <xf numFmtId="1" fontId="5" fillId="0" borderId="6" xfId="0" applyNumberFormat="1" applyFont="1" applyBorder="1" applyAlignment="1">
      <alignment horizontal="right" vertical="top" shrinkToFit="1"/>
    </xf>
    <xf numFmtId="1" fontId="5" fillId="0" borderId="6" xfId="0" applyNumberFormat="1" applyFont="1" applyBorder="1" applyAlignment="1">
      <alignment horizontal="left" vertical="top" shrinkToFit="1"/>
    </xf>
    <xf numFmtId="1" fontId="5" fillId="0" borderId="7" xfId="0" applyNumberFormat="1" applyFont="1" applyBorder="1" applyAlignment="1">
      <alignment horizontal="left" vertical="top" indent="1" shrinkToFit="1"/>
    </xf>
    <xf numFmtId="0" fontId="6" fillId="0" borderId="3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2" fontId="5" fillId="0" borderId="0" xfId="0" applyNumberFormat="1" applyFont="1" applyAlignment="1">
      <alignment horizontal="left" vertical="top" indent="2"/>
    </xf>
    <xf numFmtId="2" fontId="5" fillId="0" borderId="0" xfId="0" applyNumberFormat="1" applyFont="1" applyAlignment="1">
      <alignment horizontal="left" vertical="top" indent="1"/>
    </xf>
    <xf numFmtId="1" fontId="5" fillId="0" borderId="4" xfId="0" applyNumberFormat="1" applyFont="1" applyBorder="1" applyAlignment="1">
      <alignment horizontal="left" vertical="top" shrinkToFi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1" fontId="5" fillId="0" borderId="13" xfId="0" applyNumberFormat="1" applyFont="1" applyBorder="1" applyAlignment="1">
      <alignment horizontal="center" vertical="top" shrinkToFit="1"/>
    </xf>
    <xf numFmtId="0" fontId="27" fillId="0" borderId="0" xfId="0" applyFont="1" applyAlignment="1">
      <alignment horizontal="left" vertical="top" wrapText="1" indent="1"/>
    </xf>
    <xf numFmtId="1" fontId="4" fillId="0" borderId="13" xfId="0" applyNumberFormat="1" applyFont="1" applyBorder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2" fontId="5" fillId="0" borderId="3" xfId="0" applyNumberFormat="1" applyFont="1" applyBorder="1" applyAlignment="1">
      <alignment vertical="top" shrinkToFit="1"/>
    </xf>
    <xf numFmtId="2" fontId="5" fillId="7" borderId="3" xfId="0" applyNumberFormat="1" applyFont="1" applyFill="1" applyBorder="1" applyAlignment="1">
      <alignment vertical="top" shrinkToFi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" fontId="4" fillId="7" borderId="4" xfId="0" applyNumberFormat="1" applyFont="1" applyFill="1" applyBorder="1" applyAlignment="1">
      <alignment horizontal="left" vertical="top" indent="2" shrinkToFit="1"/>
    </xf>
    <xf numFmtId="1" fontId="7" fillId="0" borderId="0" xfId="0" applyNumberFormat="1" applyFont="1" applyAlignment="1">
      <alignment horizontal="left" vertical="top" shrinkToFit="1"/>
    </xf>
    <xf numFmtId="1" fontId="4" fillId="0" borderId="11" xfId="0" applyNumberFormat="1" applyFont="1" applyBorder="1" applyAlignment="1">
      <alignment horizontal="left" vertical="top" indent="2" shrinkToFit="1"/>
    </xf>
    <xf numFmtId="1" fontId="5" fillId="0" borderId="4" xfId="0" applyNumberFormat="1" applyFont="1" applyBorder="1" applyAlignment="1">
      <alignment horizontal="left" vertical="top" indent="2" shrinkToFit="1"/>
    </xf>
    <xf numFmtId="0" fontId="0" fillId="7" borderId="4" xfId="0" applyFill="1" applyBorder="1" applyAlignment="1">
      <alignment horizontal="left" wrapText="1"/>
    </xf>
    <xf numFmtId="0" fontId="8" fillId="7" borderId="14" xfId="0" applyFont="1" applyFill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center" vertical="top" shrinkToFit="1"/>
    </xf>
    <xf numFmtId="1" fontId="5" fillId="7" borderId="4" xfId="0" applyNumberFormat="1" applyFont="1" applyFill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1" fontId="5" fillId="7" borderId="17" xfId="0" applyNumberFormat="1" applyFont="1" applyFill="1" applyBorder="1" applyAlignment="1">
      <alignment horizontal="center" vertical="top" shrinkToFit="1"/>
    </xf>
    <xf numFmtId="1" fontId="5" fillId="0" borderId="17" xfId="0" applyNumberFormat="1" applyFont="1" applyBorder="1" applyAlignment="1">
      <alignment horizontal="center" vertical="top" shrinkToFit="1"/>
    </xf>
    <xf numFmtId="0" fontId="0" fillId="3" borderId="11" xfId="0" applyFill="1" applyBorder="1" applyAlignment="1">
      <alignment horizontal="left" wrapText="1"/>
    </xf>
    <xf numFmtId="1" fontId="4" fillId="7" borderId="4" xfId="0" applyNumberFormat="1" applyFont="1" applyFill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right" vertical="top" indent="1" shrinkToFit="1"/>
    </xf>
    <xf numFmtId="1" fontId="5" fillId="7" borderId="4" xfId="0" applyNumberFormat="1" applyFont="1" applyFill="1" applyBorder="1" applyAlignment="1">
      <alignment horizontal="right" vertical="top" indent="1" shrinkToFit="1"/>
    </xf>
    <xf numFmtId="1" fontId="5" fillId="7" borderId="4" xfId="0" applyNumberFormat="1" applyFont="1" applyFill="1" applyBorder="1" applyAlignment="1">
      <alignment horizontal="left" vertical="top" shrinkToFit="1"/>
    </xf>
    <xf numFmtId="1" fontId="5" fillId="0" borderId="4" xfId="0" applyNumberFormat="1" applyFont="1" applyBorder="1" applyAlignment="1">
      <alignment horizontal="right" vertical="top" indent="1" shrinkToFit="1"/>
    </xf>
    <xf numFmtId="1" fontId="5" fillId="7" borderId="4" xfId="0" applyNumberFormat="1" applyFont="1" applyFill="1" applyBorder="1" applyAlignment="1">
      <alignment horizontal="right" vertical="top" shrinkToFit="1"/>
    </xf>
    <xf numFmtId="1" fontId="5" fillId="0" borderId="4" xfId="0" applyNumberFormat="1" applyFont="1" applyBorder="1" applyAlignment="1">
      <alignment horizontal="right" vertical="top" shrinkToFit="1"/>
    </xf>
    <xf numFmtId="1" fontId="5" fillId="0" borderId="17" xfId="0" applyNumberFormat="1" applyFont="1" applyBorder="1" applyAlignment="1">
      <alignment horizontal="right" vertical="top" shrinkToFit="1"/>
    </xf>
    <xf numFmtId="1" fontId="5" fillId="0" borderId="17" xfId="0" applyNumberFormat="1" applyFont="1" applyBorder="1" applyAlignment="1">
      <alignment horizontal="left" vertical="top" shrinkToFit="1"/>
    </xf>
    <xf numFmtId="1" fontId="5" fillId="7" borderId="20" xfId="0" applyNumberFormat="1" applyFont="1" applyFill="1" applyBorder="1" applyAlignment="1">
      <alignment horizontal="center" vertical="top" shrinkToFit="1"/>
    </xf>
    <xf numFmtId="1" fontId="5" fillId="7" borderId="20" xfId="0" applyNumberFormat="1" applyFont="1" applyFill="1" applyBorder="1" applyAlignment="1">
      <alignment horizontal="right" vertical="top" shrinkToFit="1"/>
    </xf>
    <xf numFmtId="1" fontId="5" fillId="7" borderId="20" xfId="0" applyNumberFormat="1" applyFont="1" applyFill="1" applyBorder="1" applyAlignment="1">
      <alignment horizontal="left" vertical="top" shrinkToFit="1"/>
    </xf>
    <xf numFmtId="1" fontId="4" fillId="0" borderId="34" xfId="0" applyNumberFormat="1" applyFont="1" applyBorder="1" applyAlignment="1">
      <alignment horizontal="left" vertical="top" shrinkToFit="1"/>
    </xf>
    <xf numFmtId="1" fontId="5" fillId="0" borderId="35" xfId="0" applyNumberFormat="1" applyFont="1" applyBorder="1" applyAlignment="1">
      <alignment horizontal="left" vertical="top" indent="1" shrinkToFit="1"/>
    </xf>
    <xf numFmtId="1" fontId="5" fillId="0" borderId="35" xfId="0" applyNumberFormat="1" applyFont="1" applyBorder="1" applyAlignment="1">
      <alignment horizontal="left" vertical="top" shrinkToFit="1"/>
    </xf>
    <xf numFmtId="1" fontId="5" fillId="0" borderId="37" xfId="0" applyNumberFormat="1" applyFont="1" applyBorder="1" applyAlignment="1">
      <alignment horizontal="left" vertical="top" shrinkToFit="1"/>
    </xf>
    <xf numFmtId="1" fontId="4" fillId="0" borderId="41" xfId="0" applyNumberFormat="1" applyFont="1" applyBorder="1" applyAlignment="1">
      <alignment horizontal="left" vertical="top" shrinkToFit="1"/>
    </xf>
    <xf numFmtId="1" fontId="5" fillId="7" borderId="17" xfId="0" applyNumberFormat="1" applyFont="1" applyFill="1" applyBorder="1" applyAlignment="1">
      <alignment horizontal="right" vertical="top" shrinkToFit="1"/>
    </xf>
    <xf numFmtId="1" fontId="5" fillId="7" borderId="17" xfId="0" applyNumberFormat="1" applyFont="1" applyFill="1" applyBorder="1" applyAlignment="1">
      <alignment horizontal="left" vertical="top" shrinkToFit="1"/>
    </xf>
    <xf numFmtId="1" fontId="5" fillId="7" borderId="4" xfId="0" applyNumberFormat="1" applyFont="1" applyFill="1" applyBorder="1" applyAlignment="1">
      <alignment horizontal="left" vertical="top" indent="1" shrinkToFit="1"/>
    </xf>
    <xf numFmtId="0" fontId="0" fillId="7" borderId="4" xfId="0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 wrapText="1" indent="19"/>
    </xf>
    <xf numFmtId="0" fontId="6" fillId="0" borderId="4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center" vertical="top" wrapText="1"/>
    </xf>
    <xf numFmtId="1" fontId="4" fillId="7" borderId="4" xfId="0" applyNumberFormat="1" applyFont="1" applyFill="1" applyBorder="1" applyAlignment="1">
      <alignment horizontal="left" vertical="top" indent="1" shrinkToFit="1"/>
    </xf>
    <xf numFmtId="9" fontId="0" fillId="0" borderId="0" xfId="1" applyFont="1" applyFill="1" applyBorder="1" applyAlignment="1">
      <alignment horizontal="left" vertical="top"/>
    </xf>
    <xf numFmtId="0" fontId="29" fillId="0" borderId="55" xfId="0" applyFont="1" applyBorder="1" applyAlignment="1">
      <alignment horizontal="left" vertical="top"/>
    </xf>
    <xf numFmtId="0" fontId="29" fillId="0" borderId="53" xfId="0" applyFont="1" applyBorder="1" applyAlignment="1">
      <alignment horizontal="left" vertical="top"/>
    </xf>
    <xf numFmtId="0" fontId="29" fillId="0" borderId="56" xfId="0" applyFont="1" applyBorder="1" applyAlignment="1">
      <alignment horizontal="left" vertical="top"/>
    </xf>
    <xf numFmtId="0" fontId="30" fillId="0" borderId="53" xfId="0" applyFont="1" applyBorder="1" applyAlignment="1">
      <alignment horizontal="left" vertical="top"/>
    </xf>
    <xf numFmtId="0" fontId="0" fillId="7" borderId="3" xfId="0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6" fillId="0" borderId="4" xfId="0" applyFont="1" applyBorder="1" applyAlignment="1">
      <alignment horizontal="left" vertical="top" wrapText="1" indent="1"/>
    </xf>
    <xf numFmtId="0" fontId="6" fillId="4" borderId="13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 indent="2"/>
    </xf>
    <xf numFmtId="0" fontId="6" fillId="0" borderId="0" xfId="0" applyFont="1" applyAlignment="1">
      <alignment horizontal="left" vertical="top" wrapText="1" indent="14"/>
    </xf>
    <xf numFmtId="0" fontId="6" fillId="0" borderId="0" xfId="0" applyFont="1" applyAlignment="1">
      <alignment horizontal="left" vertical="top" wrapText="1"/>
    </xf>
    <xf numFmtId="1" fontId="4" fillId="7" borderId="4" xfId="0" applyNumberFormat="1" applyFont="1" applyFill="1" applyBorder="1" applyAlignment="1">
      <alignment horizontal="left" vertical="top" shrinkToFit="1"/>
    </xf>
    <xf numFmtId="1" fontId="5" fillId="0" borderId="7" xfId="0" applyNumberFormat="1" applyFont="1" applyBorder="1" applyAlignment="1">
      <alignment horizontal="center" vertical="top" shrinkToFit="1"/>
    </xf>
    <xf numFmtId="0" fontId="0" fillId="7" borderId="4" xfId="0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5" fillId="7" borderId="4" xfId="0" applyNumberFormat="1" applyFont="1" applyFill="1" applyBorder="1" applyAlignment="1">
      <alignment vertical="top" shrinkToFit="1"/>
    </xf>
    <xf numFmtId="1" fontId="0" fillId="0" borderId="3" xfId="0" applyNumberFormat="1" applyBorder="1" applyAlignment="1">
      <alignment horizontal="center" wrapText="1"/>
    </xf>
    <xf numFmtId="1" fontId="8" fillId="7" borderId="3" xfId="0" applyNumberFormat="1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center" wrapText="1"/>
    </xf>
    <xf numFmtId="0" fontId="6" fillId="7" borderId="4" xfId="0" applyFont="1" applyFill="1" applyBorder="1" applyAlignment="1">
      <alignment vertical="top" wrapText="1"/>
    </xf>
    <xf numFmtId="0" fontId="0" fillId="7" borderId="4" xfId="0" applyFill="1" applyBorder="1" applyAlignment="1">
      <alignment wrapText="1"/>
    </xf>
    <xf numFmtId="0" fontId="0" fillId="7" borderId="4" xfId="0" applyFill="1" applyBorder="1" applyAlignment="1">
      <alignment vertical="center" wrapText="1"/>
    </xf>
    <xf numFmtId="2" fontId="5" fillId="0" borderId="4" xfId="0" applyNumberFormat="1" applyFont="1" applyBorder="1" applyAlignment="1">
      <alignment vertical="top" shrinkToFit="1"/>
    </xf>
    <xf numFmtId="2" fontId="5" fillId="0" borderId="14" xfId="0" applyNumberFormat="1" applyFont="1" applyBorder="1" applyAlignment="1">
      <alignment vertical="top" shrinkToFit="1"/>
    </xf>
    <xf numFmtId="2" fontId="5" fillId="0" borderId="2" xfId="0" applyNumberFormat="1" applyFont="1" applyBorder="1" applyAlignment="1">
      <alignment vertical="top" shrinkToFit="1"/>
    </xf>
    <xf numFmtId="2" fontId="5" fillId="7" borderId="4" xfId="0" applyNumberFormat="1" applyFont="1" applyFill="1" applyBorder="1" applyAlignment="1">
      <alignment vertical="top" shrinkToFit="1"/>
    </xf>
    <xf numFmtId="2" fontId="5" fillId="7" borderId="14" xfId="0" applyNumberFormat="1" applyFont="1" applyFill="1" applyBorder="1" applyAlignment="1">
      <alignment vertical="top" shrinkToFit="1"/>
    </xf>
    <xf numFmtId="2" fontId="5" fillId="7" borderId="2" xfId="0" applyNumberFormat="1" applyFont="1" applyFill="1" applyBorder="1" applyAlignment="1">
      <alignment vertical="top" shrinkToFit="1"/>
    </xf>
    <xf numFmtId="0" fontId="6" fillId="4" borderId="0" xfId="0" applyFont="1" applyFill="1" applyAlignment="1">
      <alignment horizontal="left" vertical="top" wrapText="1"/>
    </xf>
    <xf numFmtId="1" fontId="5" fillId="0" borderId="4" xfId="0" applyNumberFormat="1" applyFont="1" applyBorder="1" applyAlignment="1">
      <alignment vertical="top" shrinkToFit="1"/>
    </xf>
    <xf numFmtId="0" fontId="0" fillId="0" borderId="0" xfId="0" applyAlignment="1">
      <alignment horizontal="center" vertical="top"/>
    </xf>
    <xf numFmtId="0" fontId="0" fillId="9" borderId="4" xfId="0" applyFill="1" applyBorder="1" applyAlignment="1">
      <alignment wrapText="1"/>
    </xf>
    <xf numFmtId="0" fontId="6" fillId="0" borderId="4" xfId="0" applyFont="1" applyBorder="1" applyAlignment="1">
      <alignment horizontal="left" vertical="top" wrapText="1"/>
    </xf>
    <xf numFmtId="1" fontId="5" fillId="0" borderId="35" xfId="0" applyNumberFormat="1" applyFont="1" applyBorder="1" applyAlignment="1">
      <alignment horizontal="center" vertical="top" shrinkToFit="1"/>
    </xf>
    <xf numFmtId="1" fontId="5" fillId="0" borderId="36" xfId="0" applyNumberFormat="1" applyFont="1" applyBorder="1" applyAlignment="1">
      <alignment horizontal="center" vertical="top" shrinkToFit="1"/>
    </xf>
    <xf numFmtId="1" fontId="5" fillId="7" borderId="35" xfId="0" applyNumberFormat="1" applyFont="1" applyFill="1" applyBorder="1" applyAlignment="1">
      <alignment horizontal="center" vertical="top" shrinkToFit="1"/>
    </xf>
    <xf numFmtId="1" fontId="5" fillId="7" borderId="36" xfId="0" applyNumberFormat="1" applyFont="1" applyFill="1" applyBorder="1" applyAlignment="1">
      <alignment horizontal="center" vertical="top" shrinkToFit="1"/>
    </xf>
    <xf numFmtId="1" fontId="4" fillId="7" borderId="14" xfId="0" applyNumberFormat="1" applyFont="1" applyFill="1" applyBorder="1" applyAlignment="1">
      <alignment horizontal="center" vertical="top" shrinkToFit="1"/>
    </xf>
    <xf numFmtId="1" fontId="10" fillId="4" borderId="4" xfId="0" applyNumberFormat="1" applyFont="1" applyFill="1" applyBorder="1" applyAlignment="1">
      <alignment vertical="top" shrinkToFit="1"/>
    </xf>
    <xf numFmtId="0" fontId="6" fillId="4" borderId="4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0" fillId="0" borderId="4" xfId="0" applyBorder="1" applyAlignment="1">
      <alignment vertical="center" wrapText="1"/>
    </xf>
    <xf numFmtId="1" fontId="5" fillId="0" borderId="4" xfId="0" applyNumberFormat="1" applyFont="1" applyBorder="1" applyAlignment="1">
      <alignment horizontal="center" vertical="center" shrinkToFit="1"/>
    </xf>
    <xf numFmtId="1" fontId="5" fillId="7" borderId="4" xfId="0" applyNumberFormat="1" applyFont="1" applyFill="1" applyBorder="1" applyAlignment="1">
      <alignment horizontal="center" vertical="center" shrinkToFit="1"/>
    </xf>
    <xf numFmtId="1" fontId="4" fillId="7" borderId="4" xfId="0" applyNumberFormat="1" applyFont="1" applyFill="1" applyBorder="1" applyAlignment="1">
      <alignment vertical="top" shrinkToFit="1"/>
    </xf>
    <xf numFmtId="1" fontId="4" fillId="7" borderId="14" xfId="0" applyNumberFormat="1" applyFont="1" applyFill="1" applyBorder="1" applyAlignment="1">
      <alignment vertical="top" shrinkToFit="1"/>
    </xf>
    <xf numFmtId="0" fontId="0" fillId="7" borderId="14" xfId="0" applyFill="1" applyBorder="1" applyAlignment="1">
      <alignment vertical="center" wrapText="1"/>
    </xf>
    <xf numFmtId="0" fontId="6" fillId="7" borderId="14" xfId="0" applyFont="1" applyFill="1" applyBorder="1" applyAlignment="1">
      <alignment vertical="top" wrapText="1"/>
    </xf>
    <xf numFmtId="2" fontId="5" fillId="0" borderId="37" xfId="0" applyNumberFormat="1" applyFont="1" applyBorder="1" applyAlignment="1">
      <alignment vertical="top" shrinkToFit="1"/>
    </xf>
    <xf numFmtId="2" fontId="5" fillId="0" borderId="35" xfId="0" applyNumberFormat="1" applyFont="1" applyBorder="1" applyAlignment="1">
      <alignment vertical="top" shrinkToFit="1"/>
    </xf>
    <xf numFmtId="2" fontId="5" fillId="0" borderId="36" xfId="0" applyNumberFormat="1" applyFont="1" applyBorder="1" applyAlignment="1">
      <alignment vertical="top" shrinkToFit="1"/>
    </xf>
    <xf numFmtId="1" fontId="5" fillId="0" borderId="35" xfId="0" applyNumberFormat="1" applyFont="1" applyBorder="1" applyAlignment="1">
      <alignment vertical="top" shrinkToFit="1"/>
    </xf>
    <xf numFmtId="2" fontId="5" fillId="0" borderId="0" xfId="0" applyNumberFormat="1" applyFont="1" applyAlignment="1">
      <alignment vertical="top" shrinkToFit="1"/>
    </xf>
    <xf numFmtId="1" fontId="5" fillId="0" borderId="0" xfId="0" applyNumberFormat="1" applyFont="1" applyAlignment="1">
      <alignment vertical="top" shrinkToFit="1"/>
    </xf>
    <xf numFmtId="2" fontId="5" fillId="7" borderId="0" xfId="0" applyNumberFormat="1" applyFont="1" applyFill="1" applyAlignment="1">
      <alignment vertical="top" shrinkToFit="1"/>
    </xf>
    <xf numFmtId="2" fontId="5" fillId="7" borderId="35" xfId="0" applyNumberFormat="1" applyFont="1" applyFill="1" applyBorder="1" applyAlignment="1">
      <alignment vertical="top" shrinkToFit="1"/>
    </xf>
    <xf numFmtId="2" fontId="5" fillId="7" borderId="36" xfId="0" applyNumberFormat="1" applyFont="1" applyFill="1" applyBorder="1" applyAlignment="1">
      <alignment vertical="top" shrinkToFit="1"/>
    </xf>
    <xf numFmtId="1" fontId="5" fillId="7" borderId="35" xfId="0" applyNumberFormat="1" applyFont="1" applyFill="1" applyBorder="1" applyAlignment="1">
      <alignment vertical="top" shrinkToFit="1"/>
    </xf>
    <xf numFmtId="0" fontId="0" fillId="0" borderId="4" xfId="0" applyBorder="1" applyAlignment="1">
      <alignment wrapText="1"/>
    </xf>
    <xf numFmtId="1" fontId="4" fillId="0" borderId="4" xfId="0" applyNumberFormat="1" applyFont="1" applyBorder="1" applyAlignment="1">
      <alignment vertical="top" shrinkToFit="1"/>
    </xf>
    <xf numFmtId="2" fontId="5" fillId="7" borderId="37" xfId="0" applyNumberFormat="1" applyFont="1" applyFill="1" applyBorder="1" applyAlignment="1">
      <alignment vertical="top" shrinkToFit="1"/>
    </xf>
    <xf numFmtId="2" fontId="5" fillId="7" borderId="39" xfId="0" applyNumberFormat="1" applyFont="1" applyFill="1" applyBorder="1" applyAlignment="1">
      <alignment vertical="top" shrinkToFit="1"/>
    </xf>
    <xf numFmtId="2" fontId="5" fillId="7" borderId="37" xfId="0" applyNumberFormat="1" applyFont="1" applyFill="1" applyBorder="1" applyAlignment="1">
      <alignment horizontal="center" vertical="top" shrinkToFit="1"/>
    </xf>
    <xf numFmtId="164" fontId="5" fillId="0" borderId="4" xfId="0" applyNumberFormat="1" applyFont="1" applyBorder="1" applyAlignment="1">
      <alignment vertical="top" shrinkToFit="1"/>
    </xf>
    <xf numFmtId="0" fontId="8" fillId="7" borderId="35" xfId="0" applyFont="1" applyFill="1" applyBorder="1" applyAlignment="1">
      <alignment vertical="top" wrapText="1"/>
    </xf>
    <xf numFmtId="0" fontId="8" fillId="7" borderId="36" xfId="0" applyFont="1" applyFill="1" applyBorder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7" borderId="2" xfId="0" applyFill="1" applyBorder="1" applyAlignment="1">
      <alignment horizontal="left" wrapText="1"/>
    </xf>
    <xf numFmtId="0" fontId="6" fillId="6" borderId="4" xfId="0" applyFont="1" applyFill="1" applyBorder="1" applyAlignment="1">
      <alignment vertical="top" wrapText="1"/>
    </xf>
    <xf numFmtId="0" fontId="0" fillId="6" borderId="4" xfId="0" applyFill="1" applyBorder="1" applyAlignment="1">
      <alignment wrapText="1"/>
    </xf>
    <xf numFmtId="1" fontId="10" fillId="6" borderId="4" xfId="0" applyNumberFormat="1" applyFont="1" applyFill="1" applyBorder="1" applyAlignment="1">
      <alignment vertical="top" shrinkToFit="1"/>
    </xf>
    <xf numFmtId="2" fontId="5" fillId="0" borderId="45" xfId="0" applyNumberFormat="1" applyFont="1" applyBorder="1" applyAlignment="1">
      <alignment vertical="top" shrinkToFit="1"/>
    </xf>
    <xf numFmtId="1" fontId="0" fillId="0" borderId="0" xfId="0" applyNumberFormat="1" applyAlignment="1">
      <alignment horizontal="left" wrapText="1"/>
    </xf>
    <xf numFmtId="1" fontId="5" fillId="0" borderId="46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0" fillId="6" borderId="3" xfId="0" applyFill="1" applyBorder="1" applyAlignment="1">
      <alignment horizontal="center" wrapText="1"/>
    </xf>
    <xf numFmtId="1" fontId="5" fillId="9" borderId="3" xfId="0" applyNumberFormat="1" applyFont="1" applyFill="1" applyBorder="1" applyAlignment="1">
      <alignment horizontal="center" vertical="top" shrinkToFit="1"/>
    </xf>
    <xf numFmtId="1" fontId="5" fillId="9" borderId="36" xfId="0" applyNumberFormat="1" applyFont="1" applyFill="1" applyBorder="1" applyAlignment="1">
      <alignment horizontal="center" vertical="top" shrinkToFit="1"/>
    </xf>
    <xf numFmtId="1" fontId="5" fillId="9" borderId="4" xfId="0" applyNumberFormat="1" applyFont="1" applyFill="1" applyBorder="1" applyAlignment="1">
      <alignment horizontal="center" vertical="top" shrinkToFit="1"/>
    </xf>
    <xf numFmtId="1" fontId="4" fillId="7" borderId="35" xfId="0" applyNumberFormat="1" applyFont="1" applyFill="1" applyBorder="1" applyAlignment="1">
      <alignment horizontal="center" vertical="top" shrinkToFit="1"/>
    </xf>
    <xf numFmtId="0" fontId="0" fillId="0" borderId="10" xfId="0" applyBorder="1" applyAlignment="1">
      <alignment horizontal="center" wrapText="1"/>
    </xf>
    <xf numFmtId="0" fontId="8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" fontId="5" fillId="0" borderId="2" xfId="0" applyNumberFormat="1" applyFont="1" applyBorder="1" applyAlignment="1">
      <alignment vertical="top" shrinkToFit="1"/>
    </xf>
    <xf numFmtId="1" fontId="5" fillId="7" borderId="2" xfId="0" applyNumberFormat="1" applyFont="1" applyFill="1" applyBorder="1" applyAlignment="1">
      <alignment vertical="top" shrinkToFit="1"/>
    </xf>
    <xf numFmtId="1" fontId="8" fillId="7" borderId="35" xfId="0" applyNumberFormat="1" applyFont="1" applyFill="1" applyBorder="1" applyAlignment="1">
      <alignment horizontal="center" vertical="top" wrapText="1"/>
    </xf>
    <xf numFmtId="0" fontId="14" fillId="0" borderId="4" xfId="0" applyFont="1" applyBorder="1" applyAlignment="1">
      <alignment horizontal="left" vertical="top"/>
    </xf>
    <xf numFmtId="0" fontId="8" fillId="0" borderId="14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14" fillId="0" borderId="4" xfId="0" applyFont="1" applyBorder="1" applyAlignment="1">
      <alignment vertical="top"/>
    </xf>
    <xf numFmtId="0" fontId="0" fillId="0" borderId="3" xfId="0" applyBorder="1" applyAlignment="1">
      <alignment horizontal="left"/>
    </xf>
    <xf numFmtId="0" fontId="0" fillId="0" borderId="4" xfId="0" applyBorder="1"/>
    <xf numFmtId="0" fontId="31" fillId="0" borderId="0" xfId="0" applyFont="1" applyAlignment="1">
      <alignment horizontal="left" vertical="top"/>
    </xf>
    <xf numFmtId="0" fontId="8" fillId="0" borderId="35" xfId="0" applyFont="1" applyBorder="1" applyAlignment="1">
      <alignment vertical="top" wrapText="1"/>
    </xf>
    <xf numFmtId="9" fontId="29" fillId="8" borderId="55" xfId="0" applyNumberFormat="1" applyFont="1" applyFill="1" applyBorder="1" applyAlignment="1" applyProtection="1">
      <alignment horizontal="left" vertical="top"/>
      <protection locked="0"/>
    </xf>
    <xf numFmtId="1" fontId="4" fillId="0" borderId="11" xfId="0" applyNumberFormat="1" applyFont="1" applyBorder="1" applyAlignment="1">
      <alignment horizontal="center" vertical="top" shrinkToFit="1"/>
    </xf>
    <xf numFmtId="165" fontId="29" fillId="8" borderId="54" xfId="0" applyNumberFormat="1" applyFont="1" applyFill="1" applyBorder="1" applyAlignment="1" applyProtection="1">
      <alignment horizontal="left" vertical="top"/>
      <protection locked="0"/>
    </xf>
    <xf numFmtId="1" fontId="4" fillId="7" borderId="37" xfId="0" applyNumberFormat="1" applyFont="1" applyFill="1" applyBorder="1" applyAlignment="1">
      <alignment horizontal="center" vertical="top" shrinkToFit="1"/>
    </xf>
    <xf numFmtId="1" fontId="4" fillId="7" borderId="38" xfId="0" applyNumberFormat="1" applyFont="1" applyFill="1" applyBorder="1" applyAlignment="1">
      <alignment horizontal="center" vertical="top" shrinkToFit="1"/>
    </xf>
    <xf numFmtId="1" fontId="4" fillId="7" borderId="57" xfId="0" applyNumberFormat="1" applyFont="1" applyFill="1" applyBorder="1" applyAlignment="1">
      <alignment horizontal="center" vertical="top" shrinkToFit="1"/>
    </xf>
    <xf numFmtId="0" fontId="0" fillId="0" borderId="58" xfId="0" applyBorder="1" applyAlignment="1">
      <alignment horizontal="center" wrapText="1"/>
    </xf>
    <xf numFmtId="1" fontId="5" fillId="7" borderId="58" xfId="0" applyNumberFormat="1" applyFont="1" applyFill="1" applyBorder="1" applyAlignment="1">
      <alignment horizontal="center" vertical="top" shrinkToFit="1"/>
    </xf>
    <xf numFmtId="1" fontId="5" fillId="0" borderId="58" xfId="0" applyNumberFormat="1" applyFont="1" applyBorder="1" applyAlignment="1">
      <alignment horizontal="center" vertical="top" shrinkToFit="1"/>
    </xf>
    <xf numFmtId="1" fontId="4" fillId="7" borderId="59" xfId="0" applyNumberFormat="1" applyFont="1" applyFill="1" applyBorder="1" applyAlignment="1">
      <alignment horizontal="center" vertical="top" shrinkToFit="1"/>
    </xf>
    <xf numFmtId="1" fontId="4" fillId="7" borderId="60" xfId="0" applyNumberFormat="1" applyFont="1" applyFill="1" applyBorder="1" applyAlignment="1">
      <alignment horizontal="center" vertical="top" shrinkToFit="1"/>
    </xf>
    <xf numFmtId="0" fontId="0" fillId="0" borderId="59" xfId="0" applyBorder="1"/>
    <xf numFmtId="1" fontId="4" fillId="7" borderId="58" xfId="0" applyNumberFormat="1" applyFont="1" applyFill="1" applyBorder="1" applyAlignment="1">
      <alignment horizontal="center" vertical="top" shrinkToFit="1"/>
    </xf>
    <xf numFmtId="1" fontId="4" fillId="7" borderId="61" xfId="0" applyNumberFormat="1" applyFont="1" applyFill="1" applyBorder="1" applyAlignment="1">
      <alignment horizontal="center" vertical="top" shrinkToFit="1"/>
    </xf>
    <xf numFmtId="1" fontId="4" fillId="7" borderId="62" xfId="0" applyNumberFormat="1" applyFont="1" applyFill="1" applyBorder="1" applyAlignment="1">
      <alignment horizontal="center" vertical="top" shrinkToFit="1"/>
    </xf>
    <xf numFmtId="0" fontId="0" fillId="0" borderId="63" xfId="0" applyBorder="1" applyAlignment="1">
      <alignment horizontal="center" wrapText="1"/>
    </xf>
    <xf numFmtId="1" fontId="5" fillId="7" borderId="63" xfId="0" applyNumberFormat="1" applyFont="1" applyFill="1" applyBorder="1" applyAlignment="1">
      <alignment horizontal="center" vertical="top" shrinkToFit="1"/>
    </xf>
    <xf numFmtId="1" fontId="5" fillId="0" borderId="63" xfId="0" applyNumberFormat="1" applyFont="1" applyBorder="1" applyAlignment="1">
      <alignment horizontal="center" vertical="top" shrinkToFit="1"/>
    </xf>
    <xf numFmtId="1" fontId="4" fillId="7" borderId="64" xfId="0" applyNumberFormat="1" applyFont="1" applyFill="1" applyBorder="1" applyAlignment="1">
      <alignment horizontal="center" vertical="top" shrinkToFit="1"/>
    </xf>
    <xf numFmtId="1" fontId="4" fillId="7" borderId="65" xfId="0" applyNumberFormat="1" applyFont="1" applyFill="1" applyBorder="1" applyAlignment="1">
      <alignment horizontal="center" vertical="top" shrinkToFit="1"/>
    </xf>
    <xf numFmtId="0" fontId="0" fillId="0" borderId="64" xfId="0" applyBorder="1" applyAlignment="1">
      <alignment wrapText="1"/>
    </xf>
    <xf numFmtId="1" fontId="4" fillId="7" borderId="63" xfId="0" applyNumberFormat="1" applyFont="1" applyFill="1" applyBorder="1" applyAlignment="1">
      <alignment horizontal="center" vertical="top" shrinkToFit="1"/>
    </xf>
    <xf numFmtId="0" fontId="0" fillId="0" borderId="5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4" xfId="0" applyBorder="1" applyAlignment="1">
      <alignment horizontal="center"/>
    </xf>
    <xf numFmtId="43" fontId="29" fillId="8" borderId="54" xfId="2" applyFont="1" applyFill="1" applyBorder="1" applyAlignment="1" applyProtection="1">
      <alignment horizontal="left" vertical="top"/>
      <protection locked="0"/>
    </xf>
    <xf numFmtId="0" fontId="0" fillId="0" borderId="0" xfId="0" applyAlignment="1">
      <alignment horizontal="left" vertical="top" wrapText="1" indent="6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vertical="top" wrapText="1"/>
    </xf>
    <xf numFmtId="0" fontId="2" fillId="3" borderId="13" xfId="0" applyFont="1" applyFill="1" applyBorder="1" applyAlignment="1">
      <alignment vertical="top" wrapText="1"/>
    </xf>
    <xf numFmtId="0" fontId="36" fillId="0" borderId="0" xfId="0" applyFont="1" applyAlignment="1">
      <alignment horizontal="left" vertical="top"/>
    </xf>
    <xf numFmtId="0" fontId="14" fillId="0" borderId="4" xfId="0" applyFont="1" applyBorder="1" applyAlignment="1">
      <alignment horizontal="left" vertical="top" wrapText="1"/>
    </xf>
    <xf numFmtId="1" fontId="5" fillId="7" borderId="37" xfId="0" applyNumberFormat="1" applyFont="1" applyFill="1" applyBorder="1" applyAlignment="1">
      <alignment horizontal="center" vertical="top" shrinkToFit="1"/>
    </xf>
    <xf numFmtId="0" fontId="0" fillId="7" borderId="35" xfId="0" applyFill="1" applyBorder="1" applyAlignment="1">
      <alignment horizontal="center" wrapText="1"/>
    </xf>
    <xf numFmtId="1" fontId="4" fillId="0" borderId="57" xfId="0" applyNumberFormat="1" applyFont="1" applyBorder="1" applyAlignment="1">
      <alignment horizontal="center" vertical="top" shrinkToFit="1"/>
    </xf>
    <xf numFmtId="1" fontId="5" fillId="0" borderId="59" xfId="0" applyNumberFormat="1" applyFont="1" applyBorder="1" applyAlignment="1">
      <alignment horizontal="center" vertical="top" shrinkToFit="1"/>
    </xf>
    <xf numFmtId="1" fontId="4" fillId="0" borderId="70" xfId="0" applyNumberFormat="1" applyFont="1" applyBorder="1" applyAlignment="1">
      <alignment horizontal="center" vertical="top" shrinkToFit="1"/>
    </xf>
    <xf numFmtId="1" fontId="4" fillId="7" borderId="71" xfId="0" applyNumberFormat="1" applyFont="1" applyFill="1" applyBorder="1" applyAlignment="1">
      <alignment horizontal="center" vertical="top" shrinkToFit="1"/>
    </xf>
    <xf numFmtId="1" fontId="4" fillId="0" borderId="62" xfId="0" applyNumberFormat="1" applyFont="1" applyBorder="1" applyAlignment="1">
      <alignment horizontal="center" vertical="top" shrinkToFit="1"/>
    </xf>
    <xf numFmtId="1" fontId="5" fillId="0" borderId="64" xfId="0" applyNumberFormat="1" applyFont="1" applyBorder="1" applyAlignment="1">
      <alignment horizontal="center" vertical="top" shrinkToFit="1"/>
    </xf>
    <xf numFmtId="1" fontId="4" fillId="0" borderId="72" xfId="0" applyNumberFormat="1" applyFont="1" applyBorder="1" applyAlignment="1">
      <alignment horizontal="center" vertical="top" shrinkToFit="1"/>
    </xf>
    <xf numFmtId="0" fontId="0" fillId="0" borderId="73" xfId="0" applyBorder="1" applyAlignment="1">
      <alignment horizontal="left" wrapText="1"/>
    </xf>
    <xf numFmtId="1" fontId="5" fillId="7" borderId="0" xfId="0" applyNumberFormat="1" applyFont="1" applyFill="1" applyAlignment="1">
      <alignment horizontal="center" vertical="top" shrinkToFit="1"/>
    </xf>
    <xf numFmtId="0" fontId="17" fillId="7" borderId="3" xfId="0" applyFont="1" applyFill="1" applyBorder="1" applyAlignment="1">
      <alignment horizontal="center" vertical="top" wrapText="1"/>
    </xf>
    <xf numFmtId="0" fontId="17" fillId="7" borderId="3" xfId="0" applyFont="1" applyFill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center" vertical="top" wrapText="1"/>
    </xf>
    <xf numFmtId="2" fontId="5" fillId="0" borderId="6" xfId="0" applyNumberFormat="1" applyFont="1" applyBorder="1" applyAlignment="1">
      <alignment horizontal="left" vertical="top" indent="2" shrinkToFit="1"/>
    </xf>
    <xf numFmtId="2" fontId="5" fillId="0" borderId="6" xfId="0" applyNumberFormat="1" applyFont="1" applyBorder="1" applyAlignment="1">
      <alignment horizontal="right" vertical="top" indent="2" shrinkToFit="1"/>
    </xf>
    <xf numFmtId="0" fontId="1" fillId="0" borderId="0" xfId="0" applyFont="1" applyAlignment="1">
      <alignment horizontal="left" vertical="top" wrapText="1" indent="2"/>
    </xf>
    <xf numFmtId="1" fontId="5" fillId="0" borderId="30" xfId="0" applyNumberFormat="1" applyFont="1" applyBorder="1" applyAlignment="1">
      <alignment horizontal="center" vertical="top" shrinkToFit="1"/>
    </xf>
    <xf numFmtId="1" fontId="5" fillId="0" borderId="32" xfId="0" applyNumberFormat="1" applyFont="1" applyBorder="1" applyAlignment="1">
      <alignment horizontal="center" vertical="top" shrinkToFit="1"/>
    </xf>
    <xf numFmtId="1" fontId="5" fillId="0" borderId="47" xfId="0" applyNumberFormat="1" applyFont="1" applyBorder="1" applyAlignment="1">
      <alignment horizontal="center" vertical="top" shrinkToFit="1"/>
    </xf>
    <xf numFmtId="1" fontId="5" fillId="0" borderId="48" xfId="0" applyNumberFormat="1" applyFont="1" applyBorder="1" applyAlignment="1">
      <alignment horizontal="center" vertical="top" shrinkToFit="1"/>
    </xf>
    <xf numFmtId="0" fontId="14" fillId="0" borderId="3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4" fillId="0" borderId="35" xfId="0" applyFont="1" applyBorder="1" applyAlignment="1">
      <alignment vertical="top" wrapText="1"/>
    </xf>
    <xf numFmtId="0" fontId="2" fillId="4" borderId="13" xfId="0" applyFont="1" applyFill="1" applyBorder="1" applyAlignment="1">
      <alignment vertical="top" wrapText="1"/>
    </xf>
    <xf numFmtId="1" fontId="5" fillId="0" borderId="3" xfId="0" applyNumberFormat="1" applyFont="1" applyBorder="1" applyAlignment="1">
      <alignment horizontal="center" vertical="center" shrinkToFit="1"/>
    </xf>
    <xf numFmtId="1" fontId="5" fillId="7" borderId="35" xfId="0" applyNumberFormat="1" applyFont="1" applyFill="1" applyBorder="1" applyAlignment="1">
      <alignment horizontal="center" vertical="center" shrinkToFit="1"/>
    </xf>
    <xf numFmtId="0" fontId="8" fillId="0" borderId="3" xfId="0" applyFont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8" fillId="0" borderId="35" xfId="0" applyFont="1" applyBorder="1" applyAlignment="1">
      <alignment vertical="center" wrapText="1"/>
    </xf>
    <xf numFmtId="0" fontId="8" fillId="7" borderId="35" xfId="0" applyFont="1" applyFill="1" applyBorder="1" applyAlignment="1">
      <alignment vertical="center" wrapText="1"/>
    </xf>
    <xf numFmtId="0" fontId="14" fillId="0" borderId="35" xfId="0" applyFont="1" applyBorder="1" applyAlignment="1">
      <alignment vertical="center" wrapText="1"/>
    </xf>
    <xf numFmtId="0" fontId="36" fillId="0" borderId="3" xfId="0" applyFont="1" applyBorder="1" applyAlignment="1">
      <alignment horizontal="left" wrapText="1"/>
    </xf>
    <xf numFmtId="0" fontId="36" fillId="7" borderId="3" xfId="0" applyFont="1" applyFill="1" applyBorder="1" applyAlignment="1">
      <alignment horizontal="left" wrapText="1"/>
    </xf>
    <xf numFmtId="2" fontId="14" fillId="7" borderId="3" xfId="0" applyNumberFormat="1" applyFont="1" applyFill="1" applyBorder="1" applyAlignment="1">
      <alignment horizontal="center" vertical="top" shrinkToFit="1"/>
    </xf>
    <xf numFmtId="2" fontId="14" fillId="0" borderId="3" xfId="0" applyNumberFormat="1" applyFont="1" applyBorder="1" applyAlignment="1">
      <alignment horizontal="center" vertical="top" shrinkToFit="1"/>
    </xf>
    <xf numFmtId="0" fontId="40" fillId="7" borderId="3" xfId="0" applyFont="1" applyFill="1" applyBorder="1" applyAlignment="1">
      <alignment horizontal="left" wrapText="1"/>
    </xf>
    <xf numFmtId="0" fontId="14" fillId="0" borderId="3" xfId="0" applyFont="1" applyBorder="1" applyAlignment="1">
      <alignment horizontal="center" vertical="top" wrapText="1"/>
    </xf>
    <xf numFmtId="0" fontId="36" fillId="0" borderId="3" xfId="0" applyFont="1" applyBorder="1" applyAlignment="1">
      <alignment horizontal="center" wrapText="1"/>
    </xf>
    <xf numFmtId="0" fontId="36" fillId="7" borderId="3" xfId="0" applyFont="1" applyFill="1" applyBorder="1" applyAlignment="1">
      <alignment horizontal="center" wrapText="1"/>
    </xf>
    <xf numFmtId="0" fontId="8" fillId="7" borderId="13" xfId="0" applyFont="1" applyFill="1" applyBorder="1" applyAlignment="1">
      <alignment vertical="top" wrapText="1"/>
    </xf>
    <xf numFmtId="164" fontId="5" fillId="0" borderId="0" xfId="0" applyNumberFormat="1" applyFont="1" applyAlignment="1">
      <alignment vertical="top" shrinkToFit="1"/>
    </xf>
    <xf numFmtId="0" fontId="0" fillId="0" borderId="13" xfId="0" applyBorder="1" applyAlignment="1">
      <alignment vertical="top" wrapText="1"/>
    </xf>
    <xf numFmtId="0" fontId="6" fillId="7" borderId="36" xfId="0" applyFont="1" applyFill="1" applyBorder="1" applyAlignment="1">
      <alignment horizontal="center" vertical="top" wrapText="1"/>
    </xf>
    <xf numFmtId="0" fontId="6" fillId="0" borderId="36" xfId="0" applyFont="1" applyBorder="1" applyAlignment="1">
      <alignment horizontal="center" vertical="top" wrapText="1"/>
    </xf>
    <xf numFmtId="0" fontId="6" fillId="7" borderId="36" xfId="0" applyFont="1" applyFill="1" applyBorder="1" applyAlignment="1">
      <alignment horizontal="right" vertical="top" wrapText="1"/>
    </xf>
    <xf numFmtId="0" fontId="6" fillId="0" borderId="39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center" vertical="top" wrapText="1"/>
    </xf>
    <xf numFmtId="0" fontId="6" fillId="0" borderId="39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18" fillId="6" borderId="3" xfId="0" applyFont="1" applyFill="1" applyBorder="1" applyAlignment="1">
      <alignment horizontal="center" vertical="top" wrapText="1"/>
    </xf>
    <xf numFmtId="0" fontId="17" fillId="0" borderId="3" xfId="0" applyFont="1" applyBorder="1" applyAlignment="1">
      <alignment horizontal="left" vertical="top" wrapText="1"/>
    </xf>
    <xf numFmtId="0" fontId="41" fillId="0" borderId="0" xfId="0" applyFont="1"/>
    <xf numFmtId="1" fontId="5" fillId="7" borderId="4" xfId="0" applyNumberFormat="1" applyFont="1" applyFill="1" applyBorder="1" applyAlignment="1">
      <alignment horizontal="left" vertical="top" indent="2" shrinkToFit="1"/>
    </xf>
    <xf numFmtId="1" fontId="5" fillId="0" borderId="37" xfId="0" applyNumberFormat="1" applyFont="1" applyBorder="1" applyAlignment="1">
      <alignment horizontal="center" vertical="top" shrinkToFit="1"/>
    </xf>
    <xf numFmtId="0" fontId="24" fillId="4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7" fillId="7" borderId="4" xfId="0" applyFont="1" applyFill="1" applyBorder="1" applyAlignment="1">
      <alignment horizontal="left" vertical="top" wrapText="1" indent="1"/>
    </xf>
    <xf numFmtId="1" fontId="5" fillId="0" borderId="49" xfId="0" applyNumberFormat="1" applyFont="1" applyBorder="1" applyAlignment="1">
      <alignment horizontal="center" vertical="top" shrinkToFit="1"/>
    </xf>
    <xf numFmtId="1" fontId="5" fillId="0" borderId="49" xfId="0" applyNumberFormat="1" applyFont="1" applyBorder="1" applyAlignment="1">
      <alignment vertical="top" shrinkToFit="1"/>
    </xf>
    <xf numFmtId="1" fontId="5" fillId="0" borderId="87" xfId="0" applyNumberFormat="1" applyFont="1" applyBorder="1" applyAlignment="1">
      <alignment horizontal="center" vertical="top" shrinkToFit="1"/>
    </xf>
    <xf numFmtId="1" fontId="5" fillId="0" borderId="33" xfId="0" applyNumberFormat="1" applyFont="1" applyBorder="1" applyAlignment="1">
      <alignment horizontal="center" vertical="top" shrinkToFit="1"/>
    </xf>
    <xf numFmtId="1" fontId="5" fillId="0" borderId="92" xfId="0" applyNumberFormat="1" applyFont="1" applyBorder="1" applyAlignment="1">
      <alignment horizontal="center" vertical="top" shrinkToFit="1"/>
    </xf>
    <xf numFmtId="0" fontId="42" fillId="10" borderId="93" xfId="0" applyFont="1" applyFill="1" applyBorder="1" applyAlignment="1">
      <alignment vertical="top" wrapText="1"/>
    </xf>
    <xf numFmtId="0" fontId="42" fillId="10" borderId="94" xfId="0" applyFont="1" applyFill="1" applyBorder="1" applyAlignment="1">
      <alignment vertical="top" wrapText="1"/>
    </xf>
    <xf numFmtId="0" fontId="42" fillId="10" borderId="95" xfId="0" applyFont="1" applyFill="1" applyBorder="1" applyAlignment="1">
      <alignment vertical="top" wrapText="1"/>
    </xf>
    <xf numFmtId="0" fontId="36" fillId="0" borderId="3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left" vertical="top" wrapText="1"/>
    </xf>
    <xf numFmtId="0" fontId="45" fillId="7" borderId="3" xfId="0" applyFont="1" applyFill="1" applyBorder="1" applyAlignment="1">
      <alignment horizontal="left" vertical="top" wrapText="1"/>
    </xf>
    <xf numFmtId="0" fontId="38" fillId="4" borderId="13" xfId="0" applyFont="1" applyFill="1" applyBorder="1" applyAlignment="1">
      <alignment horizontal="left" vertical="top" wrapText="1"/>
    </xf>
    <xf numFmtId="0" fontId="38" fillId="4" borderId="13" xfId="0" applyFont="1" applyFill="1" applyBorder="1" applyAlignment="1">
      <alignment vertical="top" wrapText="1"/>
    </xf>
    <xf numFmtId="0" fontId="38" fillId="4" borderId="13" xfId="0" applyFont="1" applyFill="1" applyBorder="1" applyAlignment="1">
      <alignment wrapText="1"/>
    </xf>
    <xf numFmtId="0" fontId="45" fillId="0" borderId="13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center" wrapText="1"/>
    </xf>
    <xf numFmtId="0" fontId="38" fillId="4" borderId="13" xfId="0" applyFont="1" applyFill="1" applyBorder="1" applyAlignment="1">
      <alignment vertical="center" wrapText="1"/>
    </xf>
    <xf numFmtId="1" fontId="4" fillId="0" borderId="35" xfId="0" applyNumberFormat="1" applyFont="1" applyBorder="1" applyAlignment="1">
      <alignment horizontal="center" vertical="top" shrinkToFit="1"/>
    </xf>
    <xf numFmtId="1" fontId="5" fillId="7" borderId="59" xfId="0" applyNumberFormat="1" applyFont="1" applyFill="1" applyBorder="1" applyAlignment="1">
      <alignment horizontal="center" vertical="top" shrinkToFit="1"/>
    </xf>
    <xf numFmtId="1" fontId="4" fillId="7" borderId="70" xfId="0" applyNumberFormat="1" applyFont="1" applyFill="1" applyBorder="1" applyAlignment="1">
      <alignment horizontal="center" vertical="top" shrinkToFit="1"/>
    </xf>
    <xf numFmtId="1" fontId="4" fillId="0" borderId="61" xfId="0" applyNumberFormat="1" applyFont="1" applyBorder="1" applyAlignment="1">
      <alignment horizontal="center" vertical="top" shrinkToFit="1"/>
    </xf>
    <xf numFmtId="1" fontId="4" fillId="0" borderId="71" xfId="0" applyNumberFormat="1" applyFont="1" applyBorder="1" applyAlignment="1">
      <alignment horizontal="center" vertical="top" shrinkToFit="1"/>
    </xf>
    <xf numFmtId="1" fontId="4" fillId="0" borderId="98" xfId="0" applyNumberFormat="1" applyFont="1" applyBorder="1" applyAlignment="1">
      <alignment horizontal="center" vertical="top" shrinkToFit="1"/>
    </xf>
    <xf numFmtId="1" fontId="4" fillId="0" borderId="99" xfId="0" applyNumberFormat="1" applyFont="1" applyBorder="1" applyAlignment="1">
      <alignment horizontal="center" vertical="top" shrinkToFit="1"/>
    </xf>
    <xf numFmtId="0" fontId="0" fillId="7" borderId="63" xfId="0" applyFill="1" applyBorder="1" applyAlignment="1">
      <alignment horizontal="center" wrapText="1"/>
    </xf>
    <xf numFmtId="1" fontId="5" fillId="7" borderId="64" xfId="0" applyNumberFormat="1" applyFont="1" applyFill="1" applyBorder="1" applyAlignment="1">
      <alignment horizontal="center" vertical="top" shrinkToFit="1"/>
    </xf>
    <xf numFmtId="1" fontId="4" fillId="7" borderId="72" xfId="0" applyNumberFormat="1" applyFont="1" applyFill="1" applyBorder="1" applyAlignment="1">
      <alignment horizontal="center" vertical="top" shrinkToFit="1"/>
    </xf>
    <xf numFmtId="0" fontId="6" fillId="7" borderId="2" xfId="0" applyFont="1" applyFill="1" applyBorder="1" applyAlignment="1">
      <alignment horizontal="right" vertical="top" wrapText="1" indent="1"/>
    </xf>
    <xf numFmtId="0" fontId="6" fillId="0" borderId="2" xfId="0" applyFont="1" applyBorder="1" applyAlignment="1">
      <alignment horizontal="right" vertical="top" wrapText="1"/>
    </xf>
    <xf numFmtId="0" fontId="0" fillId="0" borderId="101" xfId="0" applyBorder="1" applyAlignment="1">
      <alignment horizontal="left" wrapText="1"/>
    </xf>
    <xf numFmtId="0" fontId="0" fillId="0" borderId="101" xfId="0" applyBorder="1" applyAlignment="1">
      <alignment horizontal="left" vertical="top"/>
    </xf>
    <xf numFmtId="0" fontId="6" fillId="0" borderId="13" xfId="0" applyFont="1" applyBorder="1" applyAlignment="1">
      <alignment vertical="top" wrapText="1"/>
    </xf>
    <xf numFmtId="0" fontId="8" fillId="7" borderId="37" xfId="0" applyFont="1" applyFill="1" applyBorder="1" applyAlignment="1">
      <alignment vertical="top" wrapText="1"/>
    </xf>
    <xf numFmtId="0" fontId="8" fillId="7" borderId="38" xfId="0" applyFont="1" applyFill="1" applyBorder="1" applyAlignment="1">
      <alignment vertical="top" wrapText="1"/>
    </xf>
    <xf numFmtId="0" fontId="36" fillId="7" borderId="3" xfId="0" applyFont="1" applyFill="1" applyBorder="1" applyAlignment="1">
      <alignment horizontal="left" vertical="center" wrapText="1"/>
    </xf>
    <xf numFmtId="166" fontId="8" fillId="0" borderId="14" xfId="3" applyNumberFormat="1" applyFont="1" applyBorder="1" applyAlignment="1">
      <alignment horizontal="center" vertical="top" wrapText="1"/>
    </xf>
    <xf numFmtId="0" fontId="2" fillId="5" borderId="13" xfId="0" applyFont="1" applyFill="1" applyBorder="1" applyAlignment="1">
      <alignment vertical="top" wrapText="1"/>
    </xf>
    <xf numFmtId="1" fontId="5" fillId="0" borderId="35" xfId="0" applyNumberFormat="1" applyFont="1" applyBorder="1" applyAlignment="1">
      <alignment horizontal="center" vertical="center" shrinkToFit="1"/>
    </xf>
    <xf numFmtId="0" fontId="6" fillId="0" borderId="36" xfId="0" applyFont="1" applyBorder="1" applyAlignment="1">
      <alignment horizontal="left" vertical="top" wrapText="1"/>
    </xf>
    <xf numFmtId="1" fontId="5" fillId="0" borderId="44" xfId="0" applyNumberFormat="1" applyFont="1" applyBorder="1" applyAlignment="1">
      <alignment horizontal="center" vertical="top" shrinkToFit="1"/>
    </xf>
    <xf numFmtId="1" fontId="5" fillId="11" borderId="3" xfId="0" applyNumberFormat="1" applyFont="1" applyFill="1" applyBorder="1" applyAlignment="1">
      <alignment horizontal="center" vertical="top" shrinkToFit="1"/>
    </xf>
    <xf numFmtId="1" fontId="0" fillId="0" borderId="0" xfId="0" applyNumberFormat="1" applyAlignment="1">
      <alignment horizontal="left" vertical="top"/>
    </xf>
    <xf numFmtId="1" fontId="5" fillId="11" borderId="4" xfId="0" applyNumberFormat="1" applyFont="1" applyFill="1" applyBorder="1" applyAlignment="1">
      <alignment horizontal="center" vertical="top" shrinkToFit="1"/>
    </xf>
    <xf numFmtId="0" fontId="17" fillId="0" borderId="44" xfId="0" applyFont="1" applyBorder="1" applyAlignment="1">
      <alignment horizontal="center" vertical="top" wrapText="1"/>
    </xf>
    <xf numFmtId="0" fontId="6" fillId="0" borderId="44" xfId="0" applyFont="1" applyBorder="1" applyAlignment="1">
      <alignment horizontal="center" vertical="top" wrapText="1"/>
    </xf>
    <xf numFmtId="0" fontId="14" fillId="9" borderId="3" xfId="0" applyFont="1" applyFill="1" applyBorder="1" applyAlignment="1">
      <alignment horizontal="left" vertical="top" wrapText="1"/>
    </xf>
    <xf numFmtId="1" fontId="5" fillId="9" borderId="3" xfId="0" applyNumberFormat="1" applyFont="1" applyFill="1" applyBorder="1" applyAlignment="1">
      <alignment horizontal="left" vertical="top" indent="1" shrinkToFit="1"/>
    </xf>
    <xf numFmtId="1" fontId="5" fillId="0" borderId="44" xfId="0" applyNumberFormat="1" applyFont="1" applyBorder="1" applyAlignment="1">
      <alignment horizontal="center" vertical="center" shrinkToFit="1"/>
    </xf>
    <xf numFmtId="0" fontId="6" fillId="0" borderId="45" xfId="0" applyFont="1" applyBorder="1" applyAlignment="1">
      <alignment horizontal="center" vertical="top" wrapText="1"/>
    </xf>
    <xf numFmtId="0" fontId="0" fillId="0" borderId="45" xfId="0" applyBorder="1" applyAlignment="1">
      <alignment horizontal="left" vertical="center" wrapText="1"/>
    </xf>
    <xf numFmtId="1" fontId="5" fillId="0" borderId="45" xfId="0" applyNumberFormat="1" applyFont="1" applyBorder="1" applyAlignment="1">
      <alignment horizontal="center" vertical="top" shrinkToFit="1"/>
    </xf>
    <xf numFmtId="0" fontId="6" fillId="0" borderId="45" xfId="0" applyFont="1" applyBorder="1" applyAlignment="1">
      <alignment vertical="top" wrapText="1"/>
    </xf>
    <xf numFmtId="0" fontId="0" fillId="0" borderId="45" xfId="0" applyBorder="1" applyAlignment="1">
      <alignment vertical="center" wrapText="1"/>
    </xf>
    <xf numFmtId="1" fontId="5" fillId="0" borderId="37" xfId="0" applyNumberFormat="1" applyFont="1" applyBorder="1" applyAlignment="1">
      <alignment horizontal="right" vertical="top" shrinkToFi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1" fontId="5" fillId="9" borderId="36" xfId="0" applyNumberFormat="1" applyFont="1" applyFill="1" applyBorder="1" applyAlignment="1">
      <alignment horizontal="right" vertical="top" shrinkToFit="1"/>
    </xf>
    <xf numFmtId="1" fontId="5" fillId="0" borderId="35" xfId="0" applyNumberFormat="1" applyFont="1" applyBorder="1" applyAlignment="1">
      <alignment horizontal="right" vertical="top" shrinkToFit="1"/>
    </xf>
    <xf numFmtId="0" fontId="14" fillId="7" borderId="35" xfId="0" applyFont="1" applyFill="1" applyBorder="1" applyAlignment="1">
      <alignment vertical="center" wrapText="1"/>
    </xf>
    <xf numFmtId="1" fontId="5" fillId="0" borderId="38" xfId="0" applyNumberFormat="1" applyFont="1" applyBorder="1" applyAlignment="1">
      <alignment horizontal="center" vertical="top" shrinkToFit="1"/>
    </xf>
    <xf numFmtId="0" fontId="16" fillId="0" borderId="3" xfId="0" applyFont="1" applyBorder="1" applyAlignment="1">
      <alignment horizontal="right" vertical="top" wrapText="1"/>
    </xf>
    <xf numFmtId="0" fontId="0" fillId="12" borderId="10" xfId="0" applyFill="1" applyBorder="1" applyAlignment="1">
      <alignment horizontal="left" vertical="center" wrapText="1"/>
    </xf>
    <xf numFmtId="1" fontId="4" fillId="0" borderId="44" xfId="0" applyNumberFormat="1" applyFont="1" applyBorder="1" applyAlignment="1">
      <alignment horizontal="center" vertical="top" shrinkToFit="1"/>
    </xf>
    <xf numFmtId="1" fontId="4" fillId="0" borderId="0" xfId="0" applyNumberFormat="1" applyFont="1" applyAlignment="1">
      <alignment horizontal="center" vertical="top" shrinkToFit="1"/>
    </xf>
    <xf numFmtId="0" fontId="18" fillId="12" borderId="37" xfId="0" applyFont="1" applyFill="1" applyBorder="1" applyAlignment="1">
      <alignment vertical="top" wrapText="1"/>
    </xf>
    <xf numFmtId="0" fontId="18" fillId="12" borderId="31" xfId="0" applyFont="1" applyFill="1" applyBorder="1" applyAlignment="1">
      <alignment horizontal="center" vertical="top" wrapText="1"/>
    </xf>
    <xf numFmtId="0" fontId="18" fillId="12" borderId="38" xfId="0" applyFont="1" applyFill="1" applyBorder="1" applyAlignment="1">
      <alignment horizontal="center" vertical="top" wrapText="1"/>
    </xf>
    <xf numFmtId="0" fontId="13" fillId="12" borderId="0" xfId="0" applyFont="1" applyFill="1" applyAlignment="1">
      <alignment horizontal="center" vertical="center" textRotation="90" wrapText="1"/>
    </xf>
    <xf numFmtId="1" fontId="4" fillId="0" borderId="31" xfId="0" applyNumberFormat="1" applyFont="1" applyBorder="1" applyAlignment="1">
      <alignment horizontal="center" vertical="top" shrinkToFit="1"/>
    </xf>
    <xf numFmtId="1" fontId="5" fillId="0" borderId="31" xfId="0" applyNumberFormat="1" applyFont="1" applyBorder="1" applyAlignment="1">
      <alignment horizontal="center" vertical="top" shrinkToFit="1"/>
    </xf>
    <xf numFmtId="0" fontId="14" fillId="0" borderId="0" xfId="0" applyFont="1" applyAlignment="1">
      <alignment vertical="top"/>
    </xf>
    <xf numFmtId="0" fontId="2" fillId="3" borderId="44" xfId="0" applyFont="1" applyFill="1" applyBorder="1" applyAlignment="1">
      <alignment vertical="top" wrapText="1"/>
    </xf>
    <xf numFmtId="0" fontId="29" fillId="0" borderId="55" xfId="0" applyFont="1" applyBorder="1" applyAlignment="1">
      <alignment horizontal="left" vertical="top" wrapText="1"/>
    </xf>
    <xf numFmtId="0" fontId="8" fillId="7" borderId="45" xfId="0" applyFont="1" applyFill="1" applyBorder="1" applyAlignment="1">
      <alignment horizontal="center" vertical="top" wrapText="1"/>
    </xf>
    <xf numFmtId="0" fontId="8" fillId="0" borderId="0" xfId="0" applyFont="1" applyAlignment="1">
      <alignment vertical="top"/>
    </xf>
    <xf numFmtId="9" fontId="0" fillId="0" borderId="0" xfId="0" applyNumberFormat="1" applyAlignment="1">
      <alignment horizontal="left" vertical="top"/>
    </xf>
    <xf numFmtId="0" fontId="8" fillId="7" borderId="14" xfId="0" applyFont="1" applyFill="1" applyBorder="1" applyAlignment="1">
      <alignment vertical="top"/>
    </xf>
    <xf numFmtId="0" fontId="8" fillId="7" borderId="2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/>
    </xf>
    <xf numFmtId="0" fontId="12" fillId="0" borderId="0" xfId="0" applyFont="1" applyAlignment="1">
      <alignment horizontal="center" wrapText="1"/>
    </xf>
    <xf numFmtId="0" fontId="14" fillId="0" borderId="4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4" fillId="7" borderId="14" xfId="0" applyFont="1" applyFill="1" applyBorder="1" applyAlignment="1">
      <alignment vertical="top"/>
    </xf>
    <xf numFmtId="9" fontId="5" fillId="0" borderId="4" xfId="1" applyFont="1" applyBorder="1" applyAlignment="1">
      <alignment vertical="top" shrinkToFit="1"/>
    </xf>
    <xf numFmtId="0" fontId="48" fillId="0" borderId="0" xfId="0" applyFont="1" applyAlignment="1">
      <alignment horizontal="left" vertical="center"/>
    </xf>
    <xf numFmtId="0" fontId="36" fillId="0" borderId="0" xfId="0" applyFont="1" applyAlignment="1">
      <alignment vertical="top"/>
    </xf>
    <xf numFmtId="0" fontId="36" fillId="11" borderId="3" xfId="0" applyFont="1" applyFill="1" applyBorder="1" applyAlignment="1">
      <alignment horizontal="center" wrapText="1"/>
    </xf>
    <xf numFmtId="0" fontId="0" fillId="0" borderId="0" xfId="0" quotePrefix="1" applyAlignment="1">
      <alignment horizontal="left" vertical="top"/>
    </xf>
    <xf numFmtId="0" fontId="50" fillId="0" borderId="0" xfId="0" applyFont="1" applyAlignment="1">
      <alignment horizontal="left" vertical="top"/>
    </xf>
    <xf numFmtId="0" fontId="51" fillId="0" borderId="103" xfId="0" applyFont="1" applyBorder="1" applyAlignment="1">
      <alignment horizontal="left" vertical="center" wrapText="1"/>
    </xf>
    <xf numFmtId="0" fontId="51" fillId="15" borderId="104" xfId="0" applyFont="1" applyFill="1" applyBorder="1" applyAlignment="1">
      <alignment horizontal="left" vertical="center" wrapText="1"/>
    </xf>
    <xf numFmtId="0" fontId="51" fillId="0" borderId="104" xfId="0" applyFont="1" applyBorder="1" applyAlignment="1">
      <alignment horizontal="left" vertical="center" wrapText="1"/>
    </xf>
    <xf numFmtId="0" fontId="51" fillId="0" borderId="105" xfId="0" applyFont="1" applyBorder="1" applyAlignment="1">
      <alignment horizontal="left" vertical="center" wrapText="1"/>
    </xf>
    <xf numFmtId="0" fontId="51" fillId="0" borderId="106" xfId="0" applyFont="1" applyBorder="1" applyAlignment="1">
      <alignment horizontal="left" vertical="center" wrapText="1"/>
    </xf>
    <xf numFmtId="0" fontId="51" fillId="15" borderId="107" xfId="0" applyFont="1" applyFill="1" applyBorder="1" applyAlignment="1">
      <alignment horizontal="left" vertical="center" wrapText="1"/>
    </xf>
    <xf numFmtId="0" fontId="51" fillId="0" borderId="107" xfId="0" applyFont="1" applyBorder="1" applyAlignment="1">
      <alignment horizontal="left" vertical="center" wrapText="1"/>
    </xf>
    <xf numFmtId="0" fontId="51" fillId="0" borderId="108" xfId="0" applyFont="1" applyBorder="1" applyAlignment="1">
      <alignment horizontal="left" vertical="center" wrapText="1"/>
    </xf>
    <xf numFmtId="0" fontId="52" fillId="0" borderId="108" xfId="0" applyFont="1" applyBorder="1" applyAlignment="1">
      <alignment horizontal="left" vertical="center" wrapText="1"/>
    </xf>
    <xf numFmtId="0" fontId="52" fillId="15" borderId="107" xfId="0" applyFont="1" applyFill="1" applyBorder="1" applyAlignment="1">
      <alignment horizontal="left" vertical="center" wrapText="1"/>
    </xf>
    <xf numFmtId="0" fontId="51" fillId="0" borderId="109" xfId="0" applyFont="1" applyBorder="1" applyAlignment="1">
      <alignment horizontal="left" vertical="center" wrapText="1"/>
    </xf>
    <xf numFmtId="0" fontId="51" fillId="15" borderId="110" xfId="0" applyFont="1" applyFill="1" applyBorder="1" applyAlignment="1">
      <alignment horizontal="left" vertical="center" wrapText="1"/>
    </xf>
    <xf numFmtId="0" fontId="52" fillId="0" borderId="110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left" vertical="center" wrapText="1"/>
    </xf>
    <xf numFmtId="0" fontId="52" fillId="0" borderId="111" xfId="0" applyFont="1" applyBorder="1" applyAlignment="1">
      <alignment horizontal="left" vertical="center" wrapText="1"/>
    </xf>
    <xf numFmtId="167" fontId="29" fillId="8" borderId="54" xfId="2" applyNumberFormat="1" applyFont="1" applyFill="1" applyBorder="1" applyAlignment="1" applyProtection="1">
      <alignment horizontal="left" vertical="top"/>
      <protection locked="0"/>
    </xf>
    <xf numFmtId="168" fontId="0" fillId="0" borderId="0" xfId="0" applyNumberFormat="1" applyAlignment="1">
      <alignment horizontal="left" vertical="top"/>
    </xf>
    <xf numFmtId="0" fontId="47" fillId="0" borderId="75" xfId="0" applyFont="1" applyBorder="1" applyAlignment="1">
      <alignment horizontal="left" vertical="top"/>
    </xf>
    <xf numFmtId="0" fontId="47" fillId="0" borderId="76" xfId="0" applyFont="1" applyBorder="1" applyAlignment="1">
      <alignment horizontal="left" vertical="top"/>
    </xf>
    <xf numFmtId="0" fontId="47" fillId="0" borderId="77" xfId="0" applyFont="1" applyBorder="1" applyAlignment="1">
      <alignment horizontal="left" vertical="top"/>
    </xf>
    <xf numFmtId="0" fontId="0" fillId="0" borderId="75" xfId="0" applyBorder="1" applyAlignment="1">
      <alignment horizontal="center" vertical="top"/>
    </xf>
    <xf numFmtId="0" fontId="0" fillId="0" borderId="76" xfId="0" applyBorder="1" applyAlignment="1">
      <alignment horizontal="center" vertical="top"/>
    </xf>
    <xf numFmtId="0" fontId="0" fillId="0" borderId="77" xfId="0" applyBorder="1" applyAlignment="1">
      <alignment horizontal="center" vertical="top"/>
    </xf>
    <xf numFmtId="0" fontId="6" fillId="3" borderId="0" xfId="0" applyFont="1" applyFill="1" applyAlignment="1">
      <alignment horizontal="left" vertical="top" wrapText="1" indent="1"/>
    </xf>
    <xf numFmtId="0" fontId="6" fillId="3" borderId="13" xfId="0" applyFont="1" applyFill="1" applyBorder="1" applyAlignment="1">
      <alignment horizontal="left" vertical="top" wrapText="1" indent="1"/>
    </xf>
    <xf numFmtId="0" fontId="0" fillId="0" borderId="8" xfId="0" applyBorder="1" applyAlignment="1">
      <alignment horizontal="left" wrapText="1"/>
    </xf>
    <xf numFmtId="0" fontId="6" fillId="3" borderId="11" xfId="0" applyFont="1" applyFill="1" applyBorder="1" applyAlignment="1">
      <alignment horizontal="left" vertical="top" wrapText="1"/>
    </xf>
    <xf numFmtId="0" fontId="6" fillId="3" borderId="12" xfId="0" applyFont="1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3" borderId="0" xfId="0" applyFont="1" applyFill="1" applyAlignment="1">
      <alignment vertical="center" textRotation="90" wrapText="1"/>
    </xf>
    <xf numFmtId="0" fontId="8" fillId="0" borderId="4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7" borderId="4" xfId="0" applyFont="1" applyFill="1" applyBorder="1" applyAlignment="1">
      <alignment horizontal="left" vertical="top" wrapText="1"/>
    </xf>
    <xf numFmtId="0" fontId="8" fillId="7" borderId="14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  <xf numFmtId="0" fontId="26" fillId="0" borderId="0" xfId="0" applyFont="1" applyAlignment="1">
      <alignment horizontal="left" vertical="top" wrapText="1" indent="6"/>
    </xf>
    <xf numFmtId="0" fontId="0" fillId="0" borderId="0" xfId="0" applyAlignment="1">
      <alignment horizontal="left" vertical="top" wrapText="1" indent="6"/>
    </xf>
    <xf numFmtId="0" fontId="0" fillId="3" borderId="0" xfId="0" applyFill="1" applyAlignment="1">
      <alignment horizontal="left" vertical="top" wrapText="1"/>
    </xf>
    <xf numFmtId="1" fontId="4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5" fillId="7" borderId="4" xfId="0" applyNumberFormat="1" applyFont="1" applyFill="1" applyBorder="1" applyAlignment="1">
      <alignment horizontal="center" vertical="top" shrinkToFit="1"/>
    </xf>
    <xf numFmtId="1" fontId="5" fillId="7" borderId="2" xfId="0" applyNumberFormat="1" applyFont="1" applyFill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7" xfId="0" applyNumberFormat="1" applyFont="1" applyBorder="1" applyAlignment="1">
      <alignment horizontal="center" vertical="top" shrinkToFit="1"/>
    </xf>
    <xf numFmtId="1" fontId="5" fillId="0" borderId="5" xfId="0" applyNumberFormat="1" applyFont="1" applyBorder="1" applyAlignment="1">
      <alignment horizontal="center" vertical="top" shrinkToFit="1"/>
    </xf>
    <xf numFmtId="1" fontId="4" fillId="0" borderId="11" xfId="0" applyNumberFormat="1" applyFont="1" applyBorder="1" applyAlignment="1">
      <alignment horizontal="center" vertical="top" shrinkToFit="1"/>
    </xf>
    <xf numFmtId="1" fontId="4" fillId="0" borderId="9" xfId="0" applyNumberFormat="1" applyFont="1" applyBorder="1" applyAlignment="1">
      <alignment horizontal="center" vertical="top" shrinkToFit="1"/>
    </xf>
    <xf numFmtId="1" fontId="5" fillId="7" borderId="17" xfId="0" applyNumberFormat="1" applyFont="1" applyFill="1" applyBorder="1" applyAlignment="1">
      <alignment horizontal="center" vertical="top" shrinkToFit="1"/>
    </xf>
    <xf numFmtId="1" fontId="5" fillId="7" borderId="15" xfId="0" applyNumberFormat="1" applyFont="1" applyFill="1" applyBorder="1" applyAlignment="1">
      <alignment horizontal="center" vertical="top" shrinkToFit="1"/>
    </xf>
    <xf numFmtId="1" fontId="5" fillId="0" borderId="20" xfId="0" applyNumberFormat="1" applyFont="1" applyBorder="1" applyAlignment="1">
      <alignment horizontal="center" vertical="top" shrinkToFit="1"/>
    </xf>
    <xf numFmtId="1" fontId="5" fillId="0" borderId="21" xfId="0" applyNumberFormat="1" applyFont="1" applyBorder="1" applyAlignment="1">
      <alignment horizontal="center" vertical="top" shrinkToFit="1"/>
    </xf>
    <xf numFmtId="0" fontId="0" fillId="3" borderId="23" xfId="0" applyFill="1" applyBorder="1" applyAlignment="1">
      <alignment horizontal="left" vertical="top" wrapText="1"/>
    </xf>
    <xf numFmtId="1" fontId="5" fillId="0" borderId="17" xfId="0" applyNumberFormat="1" applyFont="1" applyBorder="1" applyAlignment="1">
      <alignment horizontal="center" vertical="top" shrinkToFit="1"/>
    </xf>
    <xf numFmtId="1" fontId="5" fillId="0" borderId="15" xfId="0" applyNumberFormat="1" applyFont="1" applyBorder="1" applyAlignment="1">
      <alignment horizontal="center" vertical="top" shrinkToFit="1"/>
    </xf>
    <xf numFmtId="0" fontId="0" fillId="0" borderId="28" xfId="0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1" fontId="4" fillId="7" borderId="4" xfId="0" applyNumberFormat="1" applyFont="1" applyFill="1" applyBorder="1" applyAlignment="1">
      <alignment horizontal="center" vertical="top" shrinkToFit="1"/>
    </xf>
    <xf numFmtId="1" fontId="4" fillId="7" borderId="2" xfId="0" applyNumberFormat="1" applyFont="1" applyFill="1" applyBorder="1" applyAlignment="1">
      <alignment horizontal="center" vertical="top" shrinkToFit="1"/>
    </xf>
    <xf numFmtId="0" fontId="0" fillId="0" borderId="31" xfId="0" applyBorder="1" applyAlignment="1">
      <alignment horizontal="left" wrapText="1"/>
    </xf>
    <xf numFmtId="0" fontId="6" fillId="3" borderId="13" xfId="0" applyFont="1" applyFill="1" applyBorder="1" applyAlignment="1">
      <alignment horizontal="left" vertical="top" wrapText="1"/>
    </xf>
    <xf numFmtId="2" fontId="5" fillId="0" borderId="4" xfId="0" applyNumberFormat="1" applyFont="1" applyBorder="1" applyAlignment="1">
      <alignment horizontal="right" vertical="top" shrinkToFit="1"/>
    </xf>
    <xf numFmtId="2" fontId="5" fillId="0" borderId="2" xfId="0" applyNumberFormat="1" applyFont="1" applyBorder="1" applyAlignment="1">
      <alignment horizontal="right" vertical="top" shrinkToFit="1"/>
    </xf>
    <xf numFmtId="0" fontId="14" fillId="7" borderId="4" xfId="0" applyFont="1" applyFill="1" applyBorder="1" applyAlignment="1">
      <alignment horizontal="left" vertical="top" wrapText="1"/>
    </xf>
    <xf numFmtId="2" fontId="5" fillId="7" borderId="4" xfId="0" applyNumberFormat="1" applyFont="1" applyFill="1" applyBorder="1" applyAlignment="1">
      <alignment horizontal="right" vertical="top" shrinkToFit="1"/>
    </xf>
    <xf numFmtId="2" fontId="5" fillId="7" borderId="2" xfId="0" applyNumberFormat="1" applyFont="1" applyFill="1" applyBorder="1" applyAlignment="1">
      <alignment horizontal="right" vertical="top" shrinkToFit="1"/>
    </xf>
    <xf numFmtId="0" fontId="2" fillId="3" borderId="0" xfId="0" applyFont="1" applyFill="1" applyAlignment="1">
      <alignment horizontal="left" textRotation="90" wrapText="1"/>
    </xf>
    <xf numFmtId="1" fontId="4" fillId="0" borderId="4" xfId="0" applyNumberFormat="1" applyFont="1" applyBorder="1" applyAlignment="1">
      <alignment horizontal="left" vertical="top" indent="2" shrinkToFit="1"/>
    </xf>
    <xf numFmtId="1" fontId="4" fillId="0" borderId="2" xfId="0" applyNumberFormat="1" applyFont="1" applyBorder="1" applyAlignment="1">
      <alignment horizontal="left" vertical="top" indent="2" shrinkToFit="1"/>
    </xf>
    <xf numFmtId="1" fontId="5" fillId="7" borderId="4" xfId="0" applyNumberFormat="1" applyFont="1" applyFill="1" applyBorder="1" applyAlignment="1">
      <alignment horizontal="left" vertical="top" indent="2" shrinkToFit="1"/>
    </xf>
    <xf numFmtId="1" fontId="5" fillId="7" borderId="2" xfId="0" applyNumberFormat="1" applyFont="1" applyFill="1" applyBorder="1" applyAlignment="1">
      <alignment horizontal="left" vertical="top" indent="2" shrinkToFit="1"/>
    </xf>
    <xf numFmtId="1" fontId="5" fillId="0" borderId="4" xfId="0" applyNumberFormat="1" applyFont="1" applyBorder="1" applyAlignment="1">
      <alignment horizontal="left" vertical="top" indent="2" shrinkToFit="1"/>
    </xf>
    <xf numFmtId="1" fontId="5" fillId="0" borderId="2" xfId="0" applyNumberFormat="1" applyFont="1" applyBorder="1" applyAlignment="1">
      <alignment horizontal="left" vertical="top" indent="2" shrinkToFit="1"/>
    </xf>
    <xf numFmtId="0" fontId="0" fillId="7" borderId="4" xfId="0" applyFill="1" applyBorder="1" applyAlignment="1">
      <alignment horizontal="left" wrapText="1"/>
    </xf>
    <xf numFmtId="0" fontId="0" fillId="7" borderId="2" xfId="0" applyFill="1" applyBorder="1" applyAlignment="1">
      <alignment horizontal="left" wrapText="1"/>
    </xf>
    <xf numFmtId="1" fontId="4" fillId="7" borderId="4" xfId="0" applyNumberFormat="1" applyFont="1" applyFill="1" applyBorder="1" applyAlignment="1">
      <alignment horizontal="left" vertical="top" indent="2" shrinkToFit="1"/>
    </xf>
    <xf numFmtId="1" fontId="4" fillId="7" borderId="2" xfId="0" applyNumberFormat="1" applyFont="1" applyFill="1" applyBorder="1" applyAlignment="1">
      <alignment horizontal="left" vertical="top" indent="2" shrinkToFit="1"/>
    </xf>
    <xf numFmtId="0" fontId="0" fillId="0" borderId="7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" fontId="4" fillId="0" borderId="11" xfId="0" applyNumberFormat="1" applyFont="1" applyBorder="1" applyAlignment="1">
      <alignment horizontal="left" vertical="top" indent="2" shrinkToFit="1"/>
    </xf>
    <xf numFmtId="1" fontId="4" fillId="0" borderId="9" xfId="0" applyNumberFormat="1" applyFont="1" applyBorder="1" applyAlignment="1">
      <alignment horizontal="left" vertical="top" indent="2" shrinkToFit="1"/>
    </xf>
    <xf numFmtId="1" fontId="5" fillId="0" borderId="7" xfId="0" applyNumberFormat="1" applyFont="1" applyBorder="1" applyAlignment="1">
      <alignment horizontal="left" vertical="top" indent="2" shrinkToFit="1"/>
    </xf>
    <xf numFmtId="1" fontId="5" fillId="0" borderId="5" xfId="0" applyNumberFormat="1" applyFont="1" applyBorder="1" applyAlignment="1">
      <alignment horizontal="left" vertical="top" indent="2" shrinkToFit="1"/>
    </xf>
    <xf numFmtId="1" fontId="7" fillId="0" borderId="0" xfId="0" applyNumberFormat="1" applyFont="1" applyAlignment="1">
      <alignment horizontal="left" vertical="top" shrinkToFit="1"/>
    </xf>
    <xf numFmtId="0" fontId="31" fillId="0" borderId="75" xfId="0" applyFont="1" applyBorder="1" applyAlignment="1">
      <alignment horizontal="left" vertical="top"/>
    </xf>
    <xf numFmtId="0" fontId="31" fillId="0" borderId="76" xfId="0" applyFont="1" applyBorder="1" applyAlignment="1">
      <alignment horizontal="left" vertical="top"/>
    </xf>
    <xf numFmtId="0" fontId="31" fillId="0" borderId="77" xfId="0" applyFont="1" applyBorder="1" applyAlignment="1">
      <alignment horizontal="left" vertical="top"/>
    </xf>
    <xf numFmtId="0" fontId="13" fillId="3" borderId="0" xfId="0" applyFont="1" applyFill="1" applyAlignment="1">
      <alignment vertical="center" textRotation="90" wrapText="1"/>
    </xf>
    <xf numFmtId="0" fontId="0" fillId="3" borderId="74" xfId="0" applyFill="1" applyBorder="1" applyAlignment="1">
      <alignment horizontal="left" vertical="top" wrapText="1"/>
    </xf>
    <xf numFmtId="0" fontId="0" fillId="0" borderId="69" xfId="0" applyBorder="1" applyAlignment="1">
      <alignment horizontal="left" wrapText="1"/>
    </xf>
    <xf numFmtId="0" fontId="40" fillId="0" borderId="102" xfId="0" applyFont="1" applyBorder="1" applyAlignment="1">
      <alignment horizontal="left" vertical="top"/>
    </xf>
    <xf numFmtId="0" fontId="40" fillId="0" borderId="100" xfId="0" applyFont="1" applyBorder="1" applyAlignment="1">
      <alignment horizontal="left" vertical="top"/>
    </xf>
    <xf numFmtId="0" fontId="40" fillId="0" borderId="55" xfId="0" applyFont="1" applyBorder="1" applyAlignment="1">
      <alignment horizontal="left" vertical="top"/>
    </xf>
    <xf numFmtId="0" fontId="8" fillId="7" borderId="31" xfId="0" applyFont="1" applyFill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3" fillId="3" borderId="0" xfId="0" applyFont="1" applyFill="1" applyAlignment="1">
      <alignment horizontal="left" textRotation="90" wrapText="1"/>
    </xf>
    <xf numFmtId="0" fontId="2" fillId="3" borderId="29" xfId="0" applyFont="1" applyFill="1" applyBorder="1" applyAlignment="1">
      <alignment horizontal="left" textRotation="90" wrapText="1"/>
    </xf>
    <xf numFmtId="0" fontId="2" fillId="3" borderId="33" xfId="0" applyFont="1" applyFill="1" applyBorder="1" applyAlignment="1">
      <alignment horizontal="left" textRotation="90" wrapText="1"/>
    </xf>
    <xf numFmtId="0" fontId="2" fillId="3" borderId="32" xfId="0" applyFont="1" applyFill="1" applyBorder="1" applyAlignment="1">
      <alignment horizontal="left" textRotation="90" wrapText="1"/>
    </xf>
    <xf numFmtId="0" fontId="0" fillId="3" borderId="29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3" borderId="101" xfId="0" applyFill="1" applyBorder="1" applyAlignment="1">
      <alignment horizontal="left" vertical="top" wrapText="1"/>
    </xf>
    <xf numFmtId="0" fontId="0" fillId="0" borderId="100" xfId="0" applyBorder="1" applyAlignment="1">
      <alignment horizontal="center" vertical="top" wrapText="1"/>
    </xf>
    <xf numFmtId="0" fontId="0" fillId="0" borderId="55" xfId="0" applyBorder="1" applyAlignment="1">
      <alignment horizontal="center" vertical="top" wrapText="1"/>
    </xf>
    <xf numFmtId="2" fontId="5" fillId="7" borderId="4" xfId="0" applyNumberFormat="1" applyFont="1" applyFill="1" applyBorder="1" applyAlignment="1">
      <alignment horizontal="left" vertical="top" indent="2" shrinkToFit="1"/>
    </xf>
    <xf numFmtId="2" fontId="5" fillId="7" borderId="2" xfId="0" applyNumberFormat="1" applyFont="1" applyFill="1" applyBorder="1" applyAlignment="1">
      <alignment horizontal="left" vertical="top" indent="2" shrinkToFit="1"/>
    </xf>
    <xf numFmtId="2" fontId="5" fillId="0" borderId="4" xfId="0" applyNumberFormat="1" applyFont="1" applyBorder="1" applyAlignment="1">
      <alignment horizontal="left" vertical="top" indent="2" shrinkToFit="1"/>
    </xf>
    <xf numFmtId="2" fontId="5" fillId="0" borderId="2" xfId="0" applyNumberFormat="1" applyFont="1" applyBorder="1" applyAlignment="1">
      <alignment horizontal="left" vertical="top" indent="2" shrinkToFit="1"/>
    </xf>
    <xf numFmtId="0" fontId="14" fillId="0" borderId="1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2" fontId="5" fillId="7" borderId="4" xfId="0" applyNumberFormat="1" applyFont="1" applyFill="1" applyBorder="1" applyAlignment="1">
      <alignment horizontal="left" vertical="top" indent="1" shrinkToFit="1"/>
    </xf>
    <xf numFmtId="2" fontId="5" fillId="7" borderId="2" xfId="0" applyNumberFormat="1" applyFont="1" applyFill="1" applyBorder="1" applyAlignment="1">
      <alignment horizontal="left" vertical="top" indent="1" shrinkToFit="1"/>
    </xf>
    <xf numFmtId="0" fontId="2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3" borderId="0" xfId="0" applyFont="1" applyFill="1" applyAlignment="1">
      <alignment horizontal="left" vertical="center" textRotation="90" wrapText="1"/>
    </xf>
    <xf numFmtId="0" fontId="14" fillId="13" borderId="4" xfId="0" applyFont="1" applyFill="1" applyBorder="1" applyAlignment="1">
      <alignment horizontal="left" vertical="top" wrapText="1"/>
    </xf>
    <xf numFmtId="0" fontId="14" fillId="13" borderId="14" xfId="0" applyFont="1" applyFill="1" applyBorder="1" applyAlignment="1">
      <alignment horizontal="left" vertical="top" wrapText="1"/>
    </xf>
    <xf numFmtId="0" fontId="14" fillId="13" borderId="2" xfId="0" applyFont="1" applyFill="1" applyBorder="1" applyAlignment="1">
      <alignment horizontal="left" vertical="top" wrapText="1"/>
    </xf>
    <xf numFmtId="0" fontId="14" fillId="7" borderId="37" xfId="0" applyFont="1" applyFill="1" applyBorder="1" applyAlignment="1">
      <alignment horizontal="left" vertical="top" wrapText="1"/>
    </xf>
    <xf numFmtId="0" fontId="14" fillId="7" borderId="31" xfId="0" applyFont="1" applyFill="1" applyBorder="1" applyAlignment="1">
      <alignment horizontal="left" vertical="top" wrapText="1"/>
    </xf>
    <xf numFmtId="0" fontId="14" fillId="7" borderId="38" xfId="0" applyFont="1" applyFill="1" applyBorder="1" applyAlignment="1">
      <alignment horizontal="left" vertical="top" wrapText="1"/>
    </xf>
    <xf numFmtId="1" fontId="5" fillId="7" borderId="37" xfId="0" applyNumberFormat="1" applyFont="1" applyFill="1" applyBorder="1" applyAlignment="1">
      <alignment horizontal="center" vertical="top" shrinkToFit="1"/>
    </xf>
    <xf numFmtId="1" fontId="5" fillId="7" borderId="38" xfId="0" applyNumberFormat="1" applyFont="1" applyFill="1" applyBorder="1" applyAlignment="1">
      <alignment horizontal="center" vertical="top" shrinkToFit="1"/>
    </xf>
    <xf numFmtId="0" fontId="14" fillId="0" borderId="37" xfId="0" applyFont="1" applyBorder="1" applyAlignment="1">
      <alignment horizontal="left" vertical="top" wrapText="1"/>
    </xf>
    <xf numFmtId="0" fontId="14" fillId="0" borderId="31" xfId="0" applyFont="1" applyBorder="1" applyAlignment="1">
      <alignment horizontal="left" vertical="top" wrapText="1"/>
    </xf>
    <xf numFmtId="2" fontId="5" fillId="0" borderId="4" xfId="0" applyNumberFormat="1" applyFont="1" applyBorder="1" applyAlignment="1">
      <alignment horizontal="left" vertical="top" indent="1" shrinkToFit="1"/>
    </xf>
    <xf numFmtId="2" fontId="5" fillId="0" borderId="2" xfId="0" applyNumberFormat="1" applyFont="1" applyBorder="1" applyAlignment="1">
      <alignment horizontal="left" vertical="top" indent="1" shrinkToFit="1"/>
    </xf>
    <xf numFmtId="0" fontId="2" fillId="3" borderId="43" xfId="0" applyFont="1" applyFill="1" applyBorder="1" applyAlignment="1">
      <alignment horizontal="center" vertical="center" textRotation="90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14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2" fontId="5" fillId="0" borderId="35" xfId="0" applyNumberFormat="1" applyFont="1" applyBorder="1" applyAlignment="1">
      <alignment horizontal="left" vertical="top" indent="2" shrinkToFit="1"/>
    </xf>
    <xf numFmtId="2" fontId="5" fillId="0" borderId="36" xfId="0" applyNumberFormat="1" applyFont="1" applyBorder="1" applyAlignment="1">
      <alignment horizontal="left" vertical="top" indent="2" shrinkToFit="1"/>
    </xf>
    <xf numFmtId="2" fontId="5" fillId="7" borderId="35" xfId="0" applyNumberFormat="1" applyFont="1" applyFill="1" applyBorder="1" applyAlignment="1">
      <alignment horizontal="left" vertical="top" indent="2" shrinkToFit="1"/>
    </xf>
    <xf numFmtId="2" fontId="5" fillId="7" borderId="36" xfId="0" applyNumberFormat="1" applyFont="1" applyFill="1" applyBorder="1" applyAlignment="1">
      <alignment horizontal="left" vertical="top" indent="2" shrinkToFit="1"/>
    </xf>
    <xf numFmtId="0" fontId="14" fillId="7" borderId="35" xfId="0" applyFont="1" applyFill="1" applyBorder="1" applyAlignment="1">
      <alignment horizontal="left" vertical="top" wrapText="1"/>
    </xf>
    <xf numFmtId="0" fontId="8" fillId="7" borderId="36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8" fillId="0" borderId="35" xfId="0" applyFont="1" applyBorder="1" applyAlignment="1">
      <alignment horizontal="left" vertical="top" wrapText="1"/>
    </xf>
    <xf numFmtId="0" fontId="8" fillId="0" borderId="36" xfId="0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left" vertical="top" shrinkToFit="1"/>
    </xf>
    <xf numFmtId="1" fontId="5" fillId="0" borderId="2" xfId="0" applyNumberFormat="1" applyFont="1" applyBorder="1" applyAlignment="1">
      <alignment horizontal="left" vertical="top" shrinkToFit="1"/>
    </xf>
    <xf numFmtId="0" fontId="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left" vertical="top" indent="1" shrinkToFit="1"/>
    </xf>
    <xf numFmtId="1" fontId="5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 indent="38"/>
    </xf>
    <xf numFmtId="0" fontId="8" fillId="7" borderId="35" xfId="0" applyFont="1" applyFill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 indent="1"/>
    </xf>
    <xf numFmtId="0" fontId="8" fillId="0" borderId="2" xfId="0" applyFont="1" applyBorder="1" applyAlignment="1">
      <alignment horizontal="left" vertical="top" wrapText="1" indent="1"/>
    </xf>
    <xf numFmtId="0" fontId="2" fillId="3" borderId="0" xfId="0" applyFont="1" applyFill="1" applyAlignment="1">
      <alignment horizontal="left" vertical="top" wrapText="1"/>
    </xf>
    <xf numFmtId="0" fontId="2" fillId="3" borderId="13" xfId="0" applyFont="1" applyFill="1" applyBorder="1" applyAlignment="1">
      <alignment horizontal="left" vertical="top" wrapText="1"/>
    </xf>
    <xf numFmtId="0" fontId="0" fillId="7" borderId="2" xfId="0" applyFill="1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2" fontId="5" fillId="0" borderId="35" xfId="0" applyNumberFormat="1" applyFont="1" applyBorder="1" applyAlignment="1">
      <alignment horizontal="left" vertical="top" indent="3" shrinkToFit="1"/>
    </xf>
    <xf numFmtId="2" fontId="5" fillId="0" borderId="36" xfId="0" applyNumberFormat="1" applyFont="1" applyBorder="1" applyAlignment="1">
      <alignment horizontal="left" vertical="top" indent="3" shrinkToFit="1"/>
    </xf>
    <xf numFmtId="0" fontId="14" fillId="0" borderId="35" xfId="0" applyFont="1" applyBorder="1" applyAlignment="1">
      <alignment horizontal="left" vertical="top" wrapText="1"/>
    </xf>
    <xf numFmtId="0" fontId="14" fillId="0" borderId="36" xfId="0" applyFont="1" applyBorder="1" applyAlignment="1">
      <alignment horizontal="left" vertical="top" wrapText="1"/>
    </xf>
    <xf numFmtId="1" fontId="5" fillId="7" borderId="4" xfId="0" applyNumberFormat="1" applyFont="1" applyFill="1" applyBorder="1" applyAlignment="1">
      <alignment horizontal="left" vertical="top" indent="1" shrinkToFit="1"/>
    </xf>
    <xf numFmtId="1" fontId="5" fillId="7" borderId="2" xfId="0" applyNumberFormat="1" applyFont="1" applyFill="1" applyBorder="1" applyAlignment="1">
      <alignment horizontal="left" vertical="top" indent="1" shrinkToFit="1"/>
    </xf>
    <xf numFmtId="0" fontId="8" fillId="7" borderId="4" xfId="0" applyFont="1" applyFill="1" applyBorder="1" applyAlignment="1">
      <alignment horizontal="left" vertical="top" wrapText="1" indent="1"/>
    </xf>
    <xf numFmtId="0" fontId="8" fillId="7" borderId="2" xfId="0" applyFont="1" applyFill="1" applyBorder="1" applyAlignment="1">
      <alignment horizontal="left" vertical="top" wrapText="1" indent="1"/>
    </xf>
    <xf numFmtId="1" fontId="5" fillId="7" borderId="4" xfId="0" applyNumberFormat="1" applyFont="1" applyFill="1" applyBorder="1" applyAlignment="1">
      <alignment horizontal="left" vertical="top" shrinkToFit="1"/>
    </xf>
    <xf numFmtId="1" fontId="5" fillId="7" borderId="2" xfId="0" applyNumberFormat="1" applyFont="1" applyFill="1" applyBorder="1" applyAlignment="1">
      <alignment horizontal="left" vertical="top" shrinkToFit="1"/>
    </xf>
    <xf numFmtId="0" fontId="6" fillId="7" borderId="4" xfId="0" applyFont="1" applyFill="1" applyBorder="1" applyAlignment="1">
      <alignment horizontal="left" vertical="top" wrapText="1" indent="1"/>
    </xf>
    <xf numFmtId="0" fontId="6" fillId="7" borderId="2" xfId="0" applyFont="1" applyFill="1" applyBorder="1" applyAlignment="1">
      <alignment horizontal="left" vertical="top" wrapText="1" indent="1"/>
    </xf>
    <xf numFmtId="0" fontId="6" fillId="7" borderId="4" xfId="0" applyFont="1" applyFill="1" applyBorder="1" applyAlignment="1">
      <alignment horizontal="left" vertical="top" wrapText="1"/>
    </xf>
    <xf numFmtId="0" fontId="6" fillId="7" borderId="2" xfId="0" applyFont="1" applyFill="1" applyBorder="1" applyAlignment="1">
      <alignment horizontal="left" vertical="top" wrapText="1"/>
    </xf>
    <xf numFmtId="0" fontId="0" fillId="7" borderId="4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1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 wrapText="1"/>
    </xf>
    <xf numFmtId="0" fontId="8" fillId="0" borderId="31" xfId="0" applyFont="1" applyBorder="1" applyAlignment="1">
      <alignment horizontal="left" vertical="top" wrapText="1"/>
    </xf>
    <xf numFmtId="0" fontId="8" fillId="0" borderId="38" xfId="0" applyFont="1" applyBorder="1" applyAlignment="1">
      <alignment horizontal="left" vertical="top" wrapText="1"/>
    </xf>
    <xf numFmtId="0" fontId="8" fillId="0" borderId="4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43" xfId="0" applyFont="1" applyBorder="1" applyAlignment="1">
      <alignment horizontal="left" vertical="top" wrapText="1"/>
    </xf>
    <xf numFmtId="0" fontId="8" fillId="0" borderId="39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40" xfId="0" applyFont="1" applyBorder="1" applyAlignment="1">
      <alignment horizontal="left" vertical="top" wrapText="1"/>
    </xf>
    <xf numFmtId="2" fontId="5" fillId="0" borderId="37" xfId="0" applyNumberFormat="1" applyFont="1" applyBorder="1" applyAlignment="1">
      <alignment horizontal="left" vertical="top" indent="2" shrinkToFit="1"/>
    </xf>
    <xf numFmtId="2" fontId="5" fillId="0" borderId="38" xfId="0" applyNumberFormat="1" applyFont="1" applyBorder="1" applyAlignment="1">
      <alignment horizontal="left" vertical="top" indent="2" shrinkToFit="1"/>
    </xf>
    <xf numFmtId="2" fontId="5" fillId="0" borderId="44" xfId="0" applyNumberFormat="1" applyFont="1" applyBorder="1" applyAlignment="1">
      <alignment horizontal="left" vertical="top" indent="2" shrinkToFit="1"/>
    </xf>
    <xf numFmtId="2" fontId="5" fillId="0" borderId="43" xfId="0" applyNumberFormat="1" applyFont="1" applyBorder="1" applyAlignment="1">
      <alignment horizontal="left" vertical="top" indent="2" shrinkToFit="1"/>
    </xf>
    <xf numFmtId="2" fontId="5" fillId="0" borderId="39" xfId="0" applyNumberFormat="1" applyFont="1" applyBorder="1" applyAlignment="1">
      <alignment horizontal="left" vertical="top" indent="2" shrinkToFit="1"/>
    </xf>
    <xf numFmtId="2" fontId="5" fillId="0" borderId="40" xfId="0" applyNumberFormat="1" applyFont="1" applyBorder="1" applyAlignment="1">
      <alignment horizontal="left" vertical="top" indent="2" shrinkToFit="1"/>
    </xf>
    <xf numFmtId="2" fontId="5" fillId="0" borderId="4" xfId="0" applyNumberFormat="1" applyFont="1" applyBorder="1" applyAlignment="1">
      <alignment horizontal="left" vertical="top" indent="6" shrinkToFit="1"/>
    </xf>
    <xf numFmtId="2" fontId="5" fillId="0" borderId="14" xfId="0" applyNumberFormat="1" applyFont="1" applyBorder="1" applyAlignment="1">
      <alignment horizontal="left" vertical="top" indent="6" shrinkToFit="1"/>
    </xf>
    <xf numFmtId="2" fontId="5" fillId="0" borderId="2" xfId="0" applyNumberFormat="1" applyFont="1" applyBorder="1" applyAlignment="1">
      <alignment horizontal="left" vertical="top" indent="6" shrinkToFit="1"/>
    </xf>
    <xf numFmtId="2" fontId="5" fillId="0" borderId="4" xfId="0" applyNumberFormat="1" applyFont="1" applyBorder="1" applyAlignment="1">
      <alignment horizontal="left" vertical="top" indent="4" shrinkToFit="1"/>
    </xf>
    <xf numFmtId="2" fontId="5" fillId="0" borderId="14" xfId="0" applyNumberFormat="1" applyFont="1" applyBorder="1" applyAlignment="1">
      <alignment horizontal="left" vertical="top" indent="4" shrinkToFit="1"/>
    </xf>
    <xf numFmtId="2" fontId="5" fillId="0" borderId="2" xfId="0" applyNumberFormat="1" applyFont="1" applyBorder="1" applyAlignment="1">
      <alignment horizontal="left" vertical="top" indent="4" shrinkToFit="1"/>
    </xf>
    <xf numFmtId="0" fontId="8" fillId="7" borderId="4" xfId="0" applyFont="1" applyFill="1" applyBorder="1" applyAlignment="1">
      <alignment horizontal="left" vertical="top" wrapText="1" indent="6"/>
    </xf>
    <xf numFmtId="0" fontId="8" fillId="7" borderId="14" xfId="0" applyFont="1" applyFill="1" applyBorder="1" applyAlignment="1">
      <alignment horizontal="left" vertical="top" wrapText="1" indent="6"/>
    </xf>
    <xf numFmtId="0" fontId="8" fillId="7" borderId="2" xfId="0" applyFont="1" applyFill="1" applyBorder="1" applyAlignment="1">
      <alignment horizontal="left" vertical="top" wrapText="1" indent="6"/>
    </xf>
    <xf numFmtId="2" fontId="5" fillId="7" borderId="4" xfId="0" applyNumberFormat="1" applyFont="1" applyFill="1" applyBorder="1" applyAlignment="1">
      <alignment horizontal="left" vertical="top" indent="4" shrinkToFit="1"/>
    </xf>
    <xf numFmtId="2" fontId="5" fillId="7" borderId="14" xfId="0" applyNumberFormat="1" applyFont="1" applyFill="1" applyBorder="1" applyAlignment="1">
      <alignment horizontal="left" vertical="top" indent="4" shrinkToFit="1"/>
    </xf>
    <xf numFmtId="2" fontId="5" fillId="7" borderId="2" xfId="0" applyNumberFormat="1" applyFont="1" applyFill="1" applyBorder="1" applyAlignment="1">
      <alignment horizontal="left" vertical="top" indent="4" shrinkToFit="1"/>
    </xf>
    <xf numFmtId="2" fontId="5" fillId="7" borderId="4" xfId="0" applyNumberFormat="1" applyFont="1" applyFill="1" applyBorder="1" applyAlignment="1">
      <alignment horizontal="left" vertical="top" indent="6" shrinkToFit="1"/>
    </xf>
    <xf numFmtId="2" fontId="5" fillId="7" borderId="14" xfId="0" applyNumberFormat="1" applyFont="1" applyFill="1" applyBorder="1" applyAlignment="1">
      <alignment horizontal="left" vertical="top" indent="6" shrinkToFit="1"/>
    </xf>
    <xf numFmtId="2" fontId="5" fillId="7" borderId="2" xfId="0" applyNumberFormat="1" applyFont="1" applyFill="1" applyBorder="1" applyAlignment="1">
      <alignment horizontal="left" vertical="top" indent="6" shrinkToFit="1"/>
    </xf>
    <xf numFmtId="1" fontId="38" fillId="3" borderId="0" xfId="0" applyNumberFormat="1" applyFont="1" applyFill="1" applyAlignment="1">
      <alignment horizontal="center" vertical="center" wrapText="1"/>
    </xf>
    <xf numFmtId="1" fontId="38" fillId="3" borderId="13" xfId="0" applyNumberFormat="1" applyFont="1" applyFill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left" vertical="top" indent="3" shrinkToFit="1"/>
    </xf>
    <xf numFmtId="2" fontId="5" fillId="0" borderId="2" xfId="0" applyNumberFormat="1" applyFont="1" applyBorder="1" applyAlignment="1">
      <alignment horizontal="left" vertical="top" indent="3" shrinkToFit="1"/>
    </xf>
    <xf numFmtId="0" fontId="2" fillId="3" borderId="44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7" fillId="0" borderId="4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 indent="1"/>
    </xf>
    <xf numFmtId="0" fontId="17" fillId="7" borderId="4" xfId="0" applyFont="1" applyFill="1" applyBorder="1" applyAlignment="1">
      <alignment horizontal="left" vertical="top" wrapText="1" indent="1"/>
    </xf>
    <xf numFmtId="0" fontId="2" fillId="3" borderId="4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" fontId="5" fillId="0" borderId="14" xfId="0" applyNumberFormat="1" applyFont="1" applyBorder="1" applyAlignment="1">
      <alignment horizontal="center" vertical="top" shrinkToFit="1"/>
    </xf>
    <xf numFmtId="1" fontId="5" fillId="7" borderId="14" xfId="0" applyNumberFormat="1" applyFont="1" applyFill="1" applyBorder="1" applyAlignment="1">
      <alignment horizontal="center" vertical="top" shrinkToFit="1"/>
    </xf>
    <xf numFmtId="0" fontId="13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3" borderId="13" xfId="0" applyFont="1" applyFill="1" applyBorder="1" applyAlignment="1">
      <alignment wrapText="1"/>
    </xf>
    <xf numFmtId="1" fontId="5" fillId="0" borderId="35" xfId="0" applyNumberFormat="1" applyFont="1" applyBorder="1" applyAlignment="1">
      <alignment horizontal="center" vertical="top" shrinkToFit="1"/>
    </xf>
    <xf numFmtId="1" fontId="5" fillId="0" borderId="36" xfId="0" applyNumberFormat="1" applyFont="1" applyBorder="1" applyAlignment="1">
      <alignment horizontal="center" vertical="top" shrinkToFit="1"/>
    </xf>
    <xf numFmtId="1" fontId="5" fillId="7" borderId="35" xfId="0" applyNumberFormat="1" applyFont="1" applyFill="1" applyBorder="1" applyAlignment="1">
      <alignment horizontal="center" vertical="top" shrinkToFit="1"/>
    </xf>
    <xf numFmtId="1" fontId="5" fillId="7" borderId="36" xfId="0" applyNumberFormat="1" applyFont="1" applyFill="1" applyBorder="1" applyAlignment="1">
      <alignment horizontal="center" vertical="top" shrinkToFit="1"/>
    </xf>
    <xf numFmtId="1" fontId="8" fillId="0" borderId="35" xfId="0" applyNumberFormat="1" applyFont="1" applyBorder="1" applyAlignment="1">
      <alignment horizontal="left" vertical="top" wrapText="1"/>
    </xf>
    <xf numFmtId="1" fontId="8" fillId="0" borderId="36" xfId="0" applyNumberFormat="1" applyFont="1" applyBorder="1" applyAlignment="1">
      <alignment horizontal="left" vertical="top" wrapText="1"/>
    </xf>
    <xf numFmtId="1" fontId="8" fillId="7" borderId="35" xfId="0" applyNumberFormat="1" applyFont="1" applyFill="1" applyBorder="1" applyAlignment="1">
      <alignment horizontal="left" vertical="top" wrapText="1"/>
    </xf>
    <xf numFmtId="1" fontId="8" fillId="7" borderId="36" xfId="0" applyNumberFormat="1" applyFont="1" applyFill="1" applyBorder="1" applyAlignment="1">
      <alignment horizontal="left" vertical="top" wrapText="1"/>
    </xf>
    <xf numFmtId="1" fontId="2" fillId="3" borderId="0" xfId="0" applyNumberFormat="1" applyFont="1" applyFill="1" applyAlignment="1">
      <alignment horizontal="left" vertical="center" wrapText="1"/>
    </xf>
    <xf numFmtId="1" fontId="2" fillId="3" borderId="13" xfId="0" applyNumberFormat="1" applyFont="1" applyFill="1" applyBorder="1" applyAlignment="1">
      <alignment horizontal="left" vertical="center" wrapText="1"/>
    </xf>
    <xf numFmtId="0" fontId="0" fillId="3" borderId="13" xfId="0" applyFill="1" applyBorder="1" applyAlignment="1">
      <alignment horizontal="right" vertical="top" wrapText="1"/>
    </xf>
    <xf numFmtId="0" fontId="0" fillId="0" borderId="12" xfId="0" applyBorder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  <xf numFmtId="1" fontId="5" fillId="11" borderId="4" xfId="0" applyNumberFormat="1" applyFont="1" applyFill="1" applyBorder="1" applyAlignment="1">
      <alignment horizontal="center" vertical="top" shrinkToFit="1"/>
    </xf>
    <xf numFmtId="1" fontId="5" fillId="11" borderId="2" xfId="0" applyNumberFormat="1" applyFont="1" applyFill="1" applyBorder="1" applyAlignment="1">
      <alignment horizontal="center" vertical="top" shrinkToFit="1"/>
    </xf>
    <xf numFmtId="0" fontId="6" fillId="4" borderId="1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6"/>
    </xf>
    <xf numFmtId="0" fontId="24" fillId="4" borderId="0" xfId="0" applyFont="1" applyFill="1" applyAlignment="1">
      <alignment horizontal="left" vertical="top" wrapText="1" indent="1"/>
    </xf>
    <xf numFmtId="0" fontId="9" fillId="4" borderId="0" xfId="0" applyFont="1" applyFill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39" fillId="4" borderId="13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center" vertical="top" wrapText="1"/>
    </xf>
    <xf numFmtId="0" fontId="17" fillId="0" borderId="0" xfId="0" applyFont="1" applyAlignment="1">
      <alignment horizontal="left" vertical="top" wrapText="1" indent="6"/>
    </xf>
    <xf numFmtId="0" fontId="6" fillId="0" borderId="0" xfId="0" applyFont="1" applyAlignment="1">
      <alignment horizontal="left" vertical="top" wrapText="1" indent="6"/>
    </xf>
    <xf numFmtId="0" fontId="28" fillId="0" borderId="31" xfId="0" applyFont="1" applyBorder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7" fillId="0" borderId="0" xfId="0" applyFont="1" applyAlignment="1">
      <alignment horizontal="center" vertical="top" wrapText="1"/>
    </xf>
    <xf numFmtId="1" fontId="4" fillId="7" borderId="14" xfId="0" applyNumberFormat="1" applyFont="1" applyFill="1" applyBorder="1" applyAlignment="1">
      <alignment horizontal="center" vertical="top" shrinkToFit="1"/>
    </xf>
    <xf numFmtId="0" fontId="6" fillId="4" borderId="4" xfId="0" applyFont="1" applyFill="1" applyBorder="1" applyAlignment="1">
      <alignment horizontal="center" vertical="top" wrapText="1"/>
    </xf>
    <xf numFmtId="0" fontId="6" fillId="4" borderId="14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6" fillId="7" borderId="14" xfId="0" applyFont="1" applyFill="1" applyBorder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 indent="19"/>
    </xf>
    <xf numFmtId="0" fontId="6" fillId="4" borderId="4" xfId="0" applyFont="1" applyFill="1" applyBorder="1" applyAlignment="1">
      <alignment horizontal="left" vertical="top" wrapText="1" indent="4"/>
    </xf>
    <xf numFmtId="0" fontId="6" fillId="4" borderId="14" xfId="0" applyFont="1" applyFill="1" applyBorder="1" applyAlignment="1">
      <alignment horizontal="left" vertical="top" wrapText="1" indent="4"/>
    </xf>
    <xf numFmtId="0" fontId="6" fillId="4" borderId="2" xfId="0" applyFont="1" applyFill="1" applyBorder="1" applyAlignment="1">
      <alignment horizontal="left" vertical="top" wrapText="1" indent="4"/>
    </xf>
    <xf numFmtId="1" fontId="10" fillId="4" borderId="4" xfId="0" applyNumberFormat="1" applyFont="1" applyFill="1" applyBorder="1" applyAlignment="1">
      <alignment horizontal="center" vertical="top" shrinkToFit="1"/>
    </xf>
    <xf numFmtId="1" fontId="10" fillId="4" borderId="2" xfId="0" applyNumberFormat="1" applyFont="1" applyFill="1" applyBorder="1" applyAlignment="1">
      <alignment horizontal="center" vertical="top" shrinkToFit="1"/>
    </xf>
    <xf numFmtId="0" fontId="15" fillId="0" borderId="0" xfId="0" applyFont="1" applyAlignment="1">
      <alignment horizontal="left" vertical="top" wrapText="1"/>
    </xf>
    <xf numFmtId="0" fontId="17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4" fillId="4" borderId="0" xfId="0" applyFont="1" applyFill="1" applyAlignment="1">
      <alignment horizontal="center" vertical="top" wrapText="1"/>
    </xf>
    <xf numFmtId="0" fontId="24" fillId="4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4" borderId="4" xfId="0" applyFont="1" applyFill="1" applyBorder="1" applyAlignment="1">
      <alignment horizontal="left" vertical="top" wrapText="1" indent="2"/>
    </xf>
    <xf numFmtId="0" fontId="6" fillId="4" borderId="14" xfId="0" applyFont="1" applyFill="1" applyBorder="1" applyAlignment="1">
      <alignment horizontal="left" vertical="top" wrapText="1" indent="2"/>
    </xf>
    <xf numFmtId="0" fontId="15" fillId="0" borderId="31" xfId="0" applyFont="1" applyBorder="1" applyAlignment="1">
      <alignment horizontal="center" vertical="top" wrapText="1"/>
    </xf>
    <xf numFmtId="0" fontId="1" fillId="0" borderId="0" xfId="0" applyFont="1" applyAlignment="1">
      <alignment horizontal="left" wrapText="1" indent="1"/>
    </xf>
    <xf numFmtId="0" fontId="6" fillId="0" borderId="0" xfId="0" applyFont="1" applyAlignment="1">
      <alignment horizontal="left" vertical="top" wrapText="1" indent="14"/>
    </xf>
    <xf numFmtId="0" fontId="6" fillId="0" borderId="0" xfId="0" applyFont="1" applyAlignment="1">
      <alignment horizontal="left" vertical="top" wrapText="1"/>
    </xf>
    <xf numFmtId="2" fontId="5" fillId="0" borderId="37" xfId="0" applyNumberFormat="1" applyFont="1" applyBorder="1" applyAlignment="1">
      <alignment horizontal="center" vertical="top" shrinkToFit="1"/>
    </xf>
    <xf numFmtId="2" fontId="5" fillId="0" borderId="31" xfId="0" applyNumberFormat="1" applyFont="1" applyBorder="1" applyAlignment="1">
      <alignment horizontal="center" vertical="top" shrinkToFit="1"/>
    </xf>
    <xf numFmtId="2" fontId="5" fillId="0" borderId="44" xfId="0" applyNumberFormat="1" applyFont="1" applyBorder="1" applyAlignment="1">
      <alignment horizontal="center" vertical="top" shrinkToFit="1"/>
    </xf>
    <xf numFmtId="2" fontId="5" fillId="0" borderId="0" xfId="0" applyNumberFormat="1" applyFont="1" applyAlignment="1">
      <alignment horizontal="center" vertical="top" shrinkToFit="1"/>
    </xf>
    <xf numFmtId="0" fontId="17" fillId="0" borderId="13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 indent="14"/>
    </xf>
    <xf numFmtId="0" fontId="12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/>
    </xf>
    <xf numFmtId="0" fontId="17" fillId="0" borderId="0" xfId="0" applyFont="1" applyAlignment="1">
      <alignment horizontal="left" vertical="top" wrapText="1"/>
    </xf>
    <xf numFmtId="0" fontId="2" fillId="4" borderId="13" xfId="0" applyFont="1" applyFill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4" fillId="14" borderId="4" xfId="0" applyFont="1" applyFill="1" applyBorder="1" applyAlignment="1">
      <alignment horizontal="left" vertical="top" wrapText="1"/>
    </xf>
    <xf numFmtId="0" fontId="14" fillId="14" borderId="2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3" fillId="4" borderId="13" xfId="0" applyFont="1" applyFill="1" applyBorder="1" applyAlignment="1">
      <alignment horizontal="left" vertical="top" wrapText="1"/>
    </xf>
    <xf numFmtId="0" fontId="8" fillId="0" borderId="4" xfId="0" applyFont="1" applyBorder="1" applyAlignment="1">
      <alignment horizontal="left" vertical="center" wrapText="1"/>
    </xf>
    <xf numFmtId="0" fontId="8" fillId="7" borderId="37" xfId="0" applyFont="1" applyFill="1" applyBorder="1" applyAlignment="1">
      <alignment horizontal="left" vertical="center" wrapText="1"/>
    </xf>
    <xf numFmtId="0" fontId="8" fillId="7" borderId="38" xfId="0" applyFont="1" applyFill="1" applyBorder="1" applyAlignment="1">
      <alignment horizontal="left" vertical="center" wrapText="1"/>
    </xf>
    <xf numFmtId="0" fontId="0" fillId="0" borderId="31" xfId="0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 indent="3"/>
    </xf>
    <xf numFmtId="0" fontId="8" fillId="0" borderId="2" xfId="0" applyFont="1" applyBorder="1" applyAlignment="1">
      <alignment horizontal="left" vertical="top" wrapText="1" indent="3"/>
    </xf>
    <xf numFmtId="0" fontId="1" fillId="0" borderId="0" xfId="0" applyFont="1" applyAlignment="1">
      <alignment horizontal="left" vertical="top" wrapText="1" indent="2"/>
    </xf>
    <xf numFmtId="0" fontId="6" fillId="7" borderId="14" xfId="0" applyFont="1" applyFill="1" applyBorder="1" applyAlignment="1">
      <alignment horizontal="left" vertical="top" wrapText="1"/>
    </xf>
    <xf numFmtId="0" fontId="8" fillId="7" borderId="4" xfId="0" applyFont="1" applyFill="1" applyBorder="1" applyAlignment="1">
      <alignment horizontal="left" vertical="top" wrapText="1" indent="3"/>
    </xf>
    <xf numFmtId="0" fontId="8" fillId="7" borderId="2" xfId="0" applyFont="1" applyFill="1" applyBorder="1" applyAlignment="1">
      <alignment horizontal="left" vertical="top" wrapText="1" indent="3"/>
    </xf>
    <xf numFmtId="0" fontId="14" fillId="0" borderId="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38" fillId="4" borderId="13" xfId="0" applyFont="1" applyFill="1" applyBorder="1" applyAlignment="1">
      <alignment horizontal="left" vertical="top" wrapText="1"/>
    </xf>
    <xf numFmtId="0" fontId="38" fillId="4" borderId="13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center" vertical="top" wrapText="1"/>
    </xf>
    <xf numFmtId="0" fontId="8" fillId="7" borderId="14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2" fillId="5" borderId="43" xfId="0" applyFont="1" applyFill="1" applyBorder="1" applyAlignment="1">
      <alignment horizontal="left" textRotation="90" wrapText="1"/>
    </xf>
    <xf numFmtId="0" fontId="14" fillId="11" borderId="4" xfId="0" applyFont="1" applyFill="1" applyBorder="1" applyAlignment="1">
      <alignment horizontal="left" vertical="top" wrapText="1"/>
    </xf>
    <xf numFmtId="0" fontId="8" fillId="11" borderId="14" xfId="0" applyFont="1" applyFill="1" applyBorder="1" applyAlignment="1">
      <alignment horizontal="left" vertical="top" wrapText="1"/>
    </xf>
    <xf numFmtId="0" fontId="8" fillId="11" borderId="2" xfId="0" applyFont="1" applyFill="1" applyBorder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6" fillId="5" borderId="31" xfId="0" applyFont="1" applyFill="1" applyBorder="1" applyAlignment="1">
      <alignment horizontal="left" vertical="top" wrapText="1"/>
    </xf>
    <xf numFmtId="0" fontId="6" fillId="5" borderId="13" xfId="0" applyFont="1" applyFill="1" applyBorder="1" applyAlignment="1">
      <alignment horizontal="left" vertical="top" wrapText="1"/>
    </xf>
    <xf numFmtId="0" fontId="8" fillId="7" borderId="39" xfId="0" applyFont="1" applyFill="1" applyBorder="1" applyAlignment="1">
      <alignment horizontal="left" vertical="top" wrapText="1"/>
    </xf>
    <xf numFmtId="0" fontId="8" fillId="7" borderId="13" xfId="0" applyFont="1" applyFill="1" applyBorder="1" applyAlignment="1">
      <alignment horizontal="left" vertical="top" wrapText="1"/>
    </xf>
    <xf numFmtId="0" fontId="8" fillId="7" borderId="40" xfId="0" applyFont="1" applyFill="1" applyBorder="1" applyAlignment="1">
      <alignment horizontal="left" vertical="top" wrapText="1"/>
    </xf>
    <xf numFmtId="0" fontId="0" fillId="7" borderId="31" xfId="0" applyFill="1" applyBorder="1" applyAlignment="1">
      <alignment horizontal="left" vertical="top" wrapText="1"/>
    </xf>
    <xf numFmtId="0" fontId="0" fillId="7" borderId="38" xfId="0" applyFill="1" applyBorder="1" applyAlignment="1">
      <alignment horizontal="left" vertical="top" wrapText="1"/>
    </xf>
    <xf numFmtId="0" fontId="0" fillId="7" borderId="39" xfId="0" applyFill="1" applyBorder="1" applyAlignment="1">
      <alignment horizontal="left" vertical="top" wrapText="1"/>
    </xf>
    <xf numFmtId="0" fontId="0" fillId="7" borderId="13" xfId="0" applyFill="1" applyBorder="1" applyAlignment="1">
      <alignment horizontal="left" vertical="top" wrapText="1"/>
    </xf>
    <xf numFmtId="0" fontId="0" fillId="7" borderId="40" xfId="0" applyFill="1" applyBorder="1" applyAlignment="1">
      <alignment horizontal="left" vertical="top" wrapText="1"/>
    </xf>
    <xf numFmtId="0" fontId="8" fillId="7" borderId="37" xfId="0" applyFont="1" applyFill="1" applyBorder="1" applyAlignment="1">
      <alignment horizontal="left" vertical="top" wrapText="1"/>
    </xf>
    <xf numFmtId="0" fontId="8" fillId="7" borderId="38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8" fillId="7" borderId="39" xfId="0" applyFont="1" applyFill="1" applyBorder="1" applyAlignment="1">
      <alignment horizontal="center" vertical="top" wrapText="1"/>
    </xf>
    <xf numFmtId="0" fontId="8" fillId="7" borderId="13" xfId="0" applyFont="1" applyFill="1" applyBorder="1" applyAlignment="1">
      <alignment horizontal="center" vertical="top" wrapText="1"/>
    </xf>
    <xf numFmtId="0" fontId="8" fillId="7" borderId="40" xfId="0" applyFont="1" applyFill="1" applyBorder="1" applyAlignment="1">
      <alignment horizontal="center" vertical="top" wrapText="1"/>
    </xf>
    <xf numFmtId="0" fontId="18" fillId="5" borderId="0" xfId="0" applyFont="1" applyFill="1" applyAlignment="1">
      <alignment horizontal="left" vertical="top" wrapText="1"/>
    </xf>
    <xf numFmtId="0" fontId="13" fillId="5" borderId="43" xfId="0" applyFont="1" applyFill="1" applyBorder="1" applyAlignment="1">
      <alignment horizontal="center" vertical="center" textRotation="90" wrapText="1"/>
    </xf>
    <xf numFmtId="0" fontId="2" fillId="5" borderId="43" xfId="0" applyFont="1" applyFill="1" applyBorder="1" applyAlignment="1">
      <alignment horizontal="center" vertical="center" textRotation="90" wrapText="1"/>
    </xf>
    <xf numFmtId="0" fontId="18" fillId="5" borderId="31" xfId="0" applyFont="1" applyFill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31" fillId="0" borderId="14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 indent="22"/>
    </xf>
    <xf numFmtId="0" fontId="14" fillId="7" borderId="4" xfId="0" applyFont="1" applyFill="1" applyBorder="1" applyAlignment="1">
      <alignment horizontal="left" vertical="top"/>
    </xf>
    <xf numFmtId="0" fontId="14" fillId="7" borderId="14" xfId="0" applyFont="1" applyFill="1" applyBorder="1" applyAlignment="1">
      <alignment horizontal="left" vertical="top"/>
    </xf>
    <xf numFmtId="0" fontId="2" fillId="5" borderId="13" xfId="0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left" vertical="top" wrapText="1" indent="1"/>
    </xf>
    <xf numFmtId="0" fontId="2" fillId="5" borderId="13" xfId="0" applyFont="1" applyFill="1" applyBorder="1" applyAlignment="1">
      <alignment horizontal="left" vertical="top" wrapText="1" indent="1"/>
    </xf>
    <xf numFmtId="0" fontId="2" fillId="5" borderId="0" xfId="0" applyFont="1" applyFill="1" applyAlignment="1">
      <alignment horizontal="left" vertical="top" wrapText="1"/>
    </xf>
    <xf numFmtId="0" fontId="0" fillId="7" borderId="37" xfId="0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2" fillId="5" borderId="14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left" vertical="top" wrapText="1" indent="2"/>
    </xf>
    <xf numFmtId="0" fontId="6" fillId="7" borderId="2" xfId="0" applyFont="1" applyFill="1" applyBorder="1" applyAlignment="1">
      <alignment horizontal="left" vertical="top" wrapText="1" indent="2"/>
    </xf>
    <xf numFmtId="0" fontId="14" fillId="0" borderId="37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14" fillId="7" borderId="44" xfId="0" applyFont="1" applyFill="1" applyBorder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7" borderId="43" xfId="0" applyFont="1" applyFill="1" applyBorder="1" applyAlignment="1">
      <alignment horizontal="left" vertical="center" wrapText="1"/>
    </xf>
    <xf numFmtId="0" fontId="8" fillId="7" borderId="44" xfId="0" applyFont="1" applyFill="1" applyBorder="1" applyAlignment="1">
      <alignment horizontal="left" vertical="top" wrapText="1"/>
    </xf>
    <xf numFmtId="0" fontId="8" fillId="7" borderId="0" xfId="0" applyFont="1" applyFill="1" applyAlignment="1">
      <alignment horizontal="left" vertical="top" wrapText="1"/>
    </xf>
    <xf numFmtId="0" fontId="8" fillId="7" borderId="43" xfId="0" applyFont="1" applyFill="1" applyBorder="1" applyAlignment="1">
      <alignment horizontal="left" vertical="top" wrapText="1"/>
    </xf>
    <xf numFmtId="0" fontId="8" fillId="7" borderId="44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14" xfId="0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5" borderId="0" xfId="0" applyFont="1" applyFill="1" applyAlignment="1">
      <alignment horizontal="left" vertical="top" wrapText="1"/>
    </xf>
    <xf numFmtId="0" fontId="2" fillId="5" borderId="44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2" fillId="5" borderId="13" xfId="0" applyFont="1" applyFill="1" applyBorder="1" applyAlignment="1">
      <alignment horizontal="center" vertical="top" wrapText="1"/>
    </xf>
    <xf numFmtId="0" fontId="14" fillId="0" borderId="44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43" xfId="0" applyFont="1" applyBorder="1" applyAlignment="1">
      <alignment horizontal="left" vertical="center" wrapText="1"/>
    </xf>
    <xf numFmtId="0" fontId="46" fillId="0" borderId="37" xfId="0" applyFont="1" applyBorder="1" applyAlignment="1">
      <alignment horizontal="left" vertical="top" wrapText="1"/>
    </xf>
    <xf numFmtId="0" fontId="3" fillId="0" borderId="0" xfId="0" applyFont="1" applyAlignment="1">
      <alignment horizontal="right" vertical="top" wrapText="1" indent="4"/>
    </xf>
    <xf numFmtId="0" fontId="0" fillId="0" borderId="31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top" wrapText="1"/>
    </xf>
    <xf numFmtId="0" fontId="3" fillId="7" borderId="14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6" fillId="6" borderId="4" xfId="0" applyFont="1" applyFill="1" applyBorder="1" applyAlignment="1">
      <alignment horizontal="left" vertical="top" wrapText="1" indent="1"/>
    </xf>
    <xf numFmtId="0" fontId="6" fillId="6" borderId="2" xfId="0" applyFont="1" applyFill="1" applyBorder="1" applyAlignment="1">
      <alignment horizontal="left" vertical="top" wrapText="1" indent="1"/>
    </xf>
    <xf numFmtId="0" fontId="24" fillId="6" borderId="0" xfId="0" applyFont="1" applyFill="1" applyAlignment="1">
      <alignment horizontal="center" vertical="top" wrapText="1"/>
    </xf>
    <xf numFmtId="0" fontId="9" fillId="6" borderId="0" xfId="0" applyFont="1" applyFill="1" applyAlignment="1">
      <alignment horizontal="center" vertical="top" wrapText="1"/>
    </xf>
    <xf numFmtId="0" fontId="0" fillId="0" borderId="78" xfId="0" applyBorder="1" applyAlignment="1">
      <alignment horizontal="center" vertical="top" wrapText="1"/>
    </xf>
    <xf numFmtId="0" fontId="0" fillId="0" borderId="79" xfId="0" applyBorder="1" applyAlignment="1">
      <alignment horizontal="center" vertical="top" wrapText="1"/>
    </xf>
    <xf numFmtId="0" fontId="0" fillId="0" borderId="80" xfId="0" applyBorder="1" applyAlignment="1">
      <alignment horizontal="center" vertical="top" wrapText="1"/>
    </xf>
    <xf numFmtId="0" fontId="0" fillId="0" borderId="81" xfId="0" applyBorder="1" applyAlignment="1">
      <alignment horizontal="center" vertical="top" wrapText="1"/>
    </xf>
    <xf numFmtId="0" fontId="0" fillId="0" borderId="82" xfId="0" applyBorder="1" applyAlignment="1">
      <alignment horizontal="center" vertical="top" wrapText="1"/>
    </xf>
    <xf numFmtId="0" fontId="0" fillId="0" borderId="83" xfId="0" applyBorder="1" applyAlignment="1">
      <alignment horizontal="center" vertical="top" wrapText="1"/>
    </xf>
    <xf numFmtId="0" fontId="33" fillId="6" borderId="0" xfId="0" applyFont="1" applyFill="1" applyAlignment="1">
      <alignment horizontal="left" vertical="top" wrapText="1"/>
    </xf>
    <xf numFmtId="0" fontId="0" fillId="0" borderId="84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85" xfId="0" applyBorder="1" applyAlignment="1">
      <alignment horizontal="center" vertical="top" wrapText="1"/>
    </xf>
    <xf numFmtId="0" fontId="17" fillId="0" borderId="78" xfId="0" applyFont="1" applyBorder="1" applyAlignment="1">
      <alignment horizontal="center" vertical="top" wrapText="1"/>
    </xf>
    <xf numFmtId="1" fontId="18" fillId="6" borderId="4" xfId="0" applyNumberFormat="1" applyFont="1" applyFill="1" applyBorder="1" applyAlignment="1">
      <alignment horizontal="left" vertical="top" shrinkToFit="1"/>
    </xf>
    <xf numFmtId="1" fontId="10" fillId="6" borderId="14" xfId="0" applyNumberFormat="1" applyFont="1" applyFill="1" applyBorder="1" applyAlignment="1">
      <alignment horizontal="left" vertical="top" shrinkToFit="1"/>
    </xf>
    <xf numFmtId="1" fontId="10" fillId="6" borderId="2" xfId="0" applyNumberFormat="1" applyFont="1" applyFill="1" applyBorder="1" applyAlignment="1">
      <alignment horizontal="left" vertical="top" shrinkToFit="1"/>
    </xf>
    <xf numFmtId="0" fontId="6" fillId="6" borderId="4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top" wrapText="1"/>
    </xf>
    <xf numFmtId="0" fontId="3" fillId="7" borderId="31" xfId="0" applyFont="1" applyFill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28" fillId="0" borderId="44" xfId="0" applyFont="1" applyBorder="1" applyAlignment="1">
      <alignment horizontal="left" vertical="center" textRotation="90"/>
    </xf>
    <xf numFmtId="0" fontId="1" fillId="0" borderId="0" xfId="0" applyFont="1" applyAlignment="1">
      <alignment horizontal="left" vertical="top" wrapText="1" indent="4"/>
    </xf>
    <xf numFmtId="0" fontId="24" fillId="6" borderId="0" xfId="0" applyFont="1" applyFill="1" applyAlignment="1">
      <alignment horizontal="left" vertical="top" wrapText="1" indent="8"/>
    </xf>
    <xf numFmtId="0" fontId="9" fillId="6" borderId="0" xfId="0" applyFont="1" applyFill="1" applyAlignment="1">
      <alignment horizontal="left" vertical="top" wrapText="1" indent="8"/>
    </xf>
    <xf numFmtId="0" fontId="0" fillId="0" borderId="0" xfId="0" applyAlignment="1">
      <alignment horizontal="left" vertical="top" wrapText="1" indent="12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4"/>
    </xf>
    <xf numFmtId="0" fontId="6" fillId="6" borderId="14" xfId="0" applyFont="1" applyFill="1" applyBorder="1" applyAlignment="1">
      <alignment horizontal="left" vertical="top" wrapText="1" inden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31" fillId="0" borderId="66" xfId="0" applyFont="1" applyBorder="1" applyAlignment="1">
      <alignment horizontal="right" vertical="top" wrapText="1"/>
    </xf>
    <xf numFmtId="0" fontId="31" fillId="0" borderId="67" xfId="0" applyFont="1" applyBorder="1" applyAlignment="1">
      <alignment horizontal="right" vertical="top" wrapText="1"/>
    </xf>
    <xf numFmtId="0" fontId="31" fillId="0" borderId="68" xfId="0" applyFont="1" applyBorder="1" applyAlignment="1">
      <alignment horizontal="right" vertical="top" wrapText="1"/>
    </xf>
    <xf numFmtId="0" fontId="6" fillId="7" borderId="39" xfId="0" applyFont="1" applyFill="1" applyBorder="1" applyAlignment="1">
      <alignment horizontal="center" vertical="top" wrapText="1"/>
    </xf>
    <xf numFmtId="0" fontId="6" fillId="7" borderId="40" xfId="0" applyFont="1" applyFill="1" applyBorder="1" applyAlignment="1">
      <alignment horizontal="center" vertical="top" wrapText="1"/>
    </xf>
    <xf numFmtId="0" fontId="6" fillId="0" borderId="39" xfId="0" applyFont="1" applyBorder="1" applyAlignment="1">
      <alignment horizontal="left" vertical="top" wrapText="1"/>
    </xf>
    <xf numFmtId="0" fontId="6" fillId="0" borderId="40" xfId="0" applyFont="1" applyBorder="1" applyAlignment="1">
      <alignment horizontal="left" vertical="top" wrapText="1"/>
    </xf>
    <xf numFmtId="0" fontId="33" fillId="6" borderId="0" xfId="0" applyFont="1" applyFill="1" applyAlignment="1">
      <alignment horizontal="center" vertical="top" wrapText="1"/>
    </xf>
    <xf numFmtId="0" fontId="17" fillId="0" borderId="79" xfId="0" applyFont="1" applyBorder="1" applyAlignment="1">
      <alignment horizontal="center" vertical="top" wrapText="1"/>
    </xf>
    <xf numFmtId="0" fontId="17" fillId="0" borderId="80" xfId="0" applyFont="1" applyBorder="1" applyAlignment="1">
      <alignment horizontal="center" vertical="top" wrapText="1"/>
    </xf>
    <xf numFmtId="0" fontId="17" fillId="0" borderId="84" xfId="0" applyFont="1" applyBorder="1" applyAlignment="1">
      <alignment horizontal="center" vertical="top" wrapText="1"/>
    </xf>
    <xf numFmtId="0" fontId="17" fillId="0" borderId="85" xfId="0" applyFont="1" applyBorder="1" applyAlignment="1">
      <alignment horizontal="center" vertical="top" wrapText="1"/>
    </xf>
    <xf numFmtId="0" fontId="17" fillId="0" borderId="81" xfId="0" applyFont="1" applyBorder="1" applyAlignment="1">
      <alignment horizontal="center" vertical="top" wrapText="1"/>
    </xf>
    <xf numFmtId="0" fontId="17" fillId="0" borderId="82" xfId="0" applyFont="1" applyBorder="1" applyAlignment="1">
      <alignment horizontal="center" vertical="top" wrapText="1"/>
    </xf>
    <xf numFmtId="0" fontId="17" fillId="0" borderId="83" xfId="0" applyFont="1" applyBorder="1" applyAlignment="1">
      <alignment horizontal="center" vertical="top" wrapText="1"/>
    </xf>
    <xf numFmtId="0" fontId="36" fillId="0" borderId="44" xfId="0" applyFont="1" applyBorder="1" applyAlignment="1">
      <alignment horizontal="center" vertical="center" textRotation="90"/>
    </xf>
    <xf numFmtId="0" fontId="36" fillId="0" borderId="86" xfId="0" applyFont="1" applyBorder="1" applyAlignment="1">
      <alignment horizontal="center" vertical="center" textRotation="90"/>
    </xf>
    <xf numFmtId="0" fontId="2" fillId="6" borderId="13" xfId="0" applyFont="1" applyFill="1" applyBorder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8" fillId="0" borderId="4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wrapText="1"/>
    </xf>
    <xf numFmtId="0" fontId="13" fillId="12" borderId="0" xfId="0" applyFont="1" applyFill="1" applyAlignment="1">
      <alignment horizontal="left" vertical="center" textRotation="90" wrapText="1"/>
    </xf>
    <xf numFmtId="0" fontId="2" fillId="12" borderId="0" xfId="0" applyFont="1" applyFill="1" applyAlignment="1">
      <alignment horizontal="left" vertical="center" textRotation="90" wrapText="1"/>
    </xf>
    <xf numFmtId="0" fontId="18" fillId="12" borderId="44" xfId="0" applyFont="1" applyFill="1" applyBorder="1" applyAlignment="1">
      <alignment horizontal="left" vertical="top" wrapText="1"/>
    </xf>
    <xf numFmtId="0" fontId="18" fillId="12" borderId="0" xfId="0" applyFont="1" applyFill="1" applyAlignment="1">
      <alignment horizontal="left" vertical="top" wrapText="1"/>
    </xf>
    <xf numFmtId="0" fontId="18" fillId="12" borderId="43" xfId="0" applyFont="1" applyFill="1" applyBorder="1" applyAlignment="1">
      <alignment horizontal="left" vertical="top" wrapText="1"/>
    </xf>
    <xf numFmtId="1" fontId="5" fillId="0" borderId="44" xfId="0" applyNumberFormat="1" applyFont="1" applyBorder="1" applyAlignment="1">
      <alignment horizontal="center" vertical="center" shrinkToFit="1"/>
    </xf>
    <xf numFmtId="1" fontId="5" fillId="0" borderId="0" xfId="0" applyNumberFormat="1" applyFont="1" applyAlignment="1">
      <alignment horizontal="center" vertical="center" shrinkToFit="1"/>
    </xf>
    <xf numFmtId="0" fontId="14" fillId="7" borderId="0" xfId="0" applyFont="1" applyFill="1" applyAlignment="1">
      <alignment horizontal="left" vertical="center" wrapText="1"/>
    </xf>
    <xf numFmtId="0" fontId="14" fillId="7" borderId="43" xfId="0" applyFont="1" applyFill="1" applyBorder="1" applyAlignment="1">
      <alignment horizontal="left" vertical="center" wrapText="1"/>
    </xf>
    <xf numFmtId="1" fontId="5" fillId="7" borderId="44" xfId="0" applyNumberFormat="1" applyFont="1" applyFill="1" applyBorder="1" applyAlignment="1">
      <alignment horizontal="center" vertical="center" shrinkToFit="1"/>
    </xf>
    <xf numFmtId="1" fontId="5" fillId="7" borderId="0" xfId="0" applyNumberFormat="1" applyFont="1" applyFill="1" applyAlignment="1">
      <alignment horizontal="center" vertical="center" shrinkToFit="1"/>
    </xf>
    <xf numFmtId="0" fontId="14" fillId="7" borderId="14" xfId="0" applyFont="1" applyFill="1" applyBorder="1" applyAlignment="1">
      <alignment horizontal="left" vertical="top" wrapText="1"/>
    </xf>
    <xf numFmtId="9" fontId="5" fillId="7" borderId="4" xfId="1" applyFont="1" applyFill="1" applyBorder="1" applyAlignment="1">
      <alignment horizontal="center" vertical="top" shrinkToFit="1"/>
    </xf>
    <xf numFmtId="9" fontId="5" fillId="7" borderId="2" xfId="1" applyFont="1" applyFill="1" applyBorder="1" applyAlignment="1">
      <alignment horizontal="center" vertical="top" shrinkToFit="1"/>
    </xf>
    <xf numFmtId="0" fontId="18" fillId="12" borderId="4" xfId="0" applyFont="1" applyFill="1" applyBorder="1" applyAlignment="1">
      <alignment horizontal="left" vertical="top" wrapText="1"/>
    </xf>
    <xf numFmtId="0" fontId="18" fillId="12" borderId="14" xfId="0" applyFont="1" applyFill="1" applyBorder="1" applyAlignment="1">
      <alignment horizontal="left" vertical="top" wrapText="1"/>
    </xf>
    <xf numFmtId="0" fontId="13" fillId="12" borderId="43" xfId="0" applyFont="1" applyFill="1" applyBorder="1" applyAlignment="1">
      <alignment horizontal="center" vertical="center" textRotation="90" wrapText="1"/>
    </xf>
    <xf numFmtId="0" fontId="18" fillId="12" borderId="4" xfId="0" applyFont="1" applyFill="1" applyBorder="1" applyAlignment="1">
      <alignment horizontal="left" vertical="top"/>
    </xf>
    <xf numFmtId="0" fontId="18" fillId="12" borderId="14" xfId="0" applyFont="1" applyFill="1" applyBorder="1" applyAlignment="1">
      <alignment horizontal="left" vertical="top"/>
    </xf>
    <xf numFmtId="1" fontId="5" fillId="11" borderId="37" xfId="0" applyNumberFormat="1" applyFont="1" applyFill="1" applyBorder="1" applyAlignment="1">
      <alignment horizontal="left" vertical="center" shrinkToFit="1"/>
    </xf>
    <xf numFmtId="1" fontId="5" fillId="11" borderId="31" xfId="0" applyNumberFormat="1" applyFont="1" applyFill="1" applyBorder="1" applyAlignment="1">
      <alignment horizontal="left" vertical="center" shrinkToFit="1"/>
    </xf>
    <xf numFmtId="0" fontId="6" fillId="2" borderId="47" xfId="0" applyFont="1" applyFill="1" applyBorder="1" applyAlignment="1">
      <alignment horizontal="left" vertical="top" wrapText="1"/>
    </xf>
    <xf numFmtId="0" fontId="6" fillId="2" borderId="49" xfId="0" applyFont="1" applyFill="1" applyBorder="1" applyAlignment="1">
      <alignment horizontal="left" vertical="top" wrapText="1"/>
    </xf>
    <xf numFmtId="0" fontId="6" fillId="2" borderId="48" xfId="0" applyFont="1" applyFill="1" applyBorder="1" applyAlignment="1">
      <alignment horizontal="left" vertical="top" wrapText="1"/>
    </xf>
    <xf numFmtId="0" fontId="8" fillId="0" borderId="47" xfId="0" applyFont="1" applyBorder="1" applyAlignment="1">
      <alignment horizontal="left" vertical="top" wrapText="1"/>
    </xf>
    <xf numFmtId="0" fontId="8" fillId="0" borderId="48" xfId="0" applyFont="1" applyBorder="1" applyAlignment="1">
      <alignment horizontal="left" vertical="top" wrapText="1"/>
    </xf>
    <xf numFmtId="2" fontId="5" fillId="0" borderId="47" xfId="0" applyNumberFormat="1" applyFont="1" applyBorder="1" applyAlignment="1">
      <alignment horizontal="left" vertical="top" indent="5" shrinkToFit="1"/>
    </xf>
    <xf numFmtId="2" fontId="5" fillId="0" borderId="48" xfId="0" applyNumberFormat="1" applyFont="1" applyBorder="1" applyAlignment="1">
      <alignment horizontal="left" vertical="top" indent="5" shrinkToFit="1"/>
    </xf>
    <xf numFmtId="0" fontId="42" fillId="10" borderId="78" xfId="0" applyFont="1" applyFill="1" applyBorder="1" applyAlignment="1">
      <alignment horizontal="left" vertical="top" wrapText="1"/>
    </xf>
    <xf numFmtId="0" fontId="42" fillId="10" borderId="79" xfId="0" applyFont="1" applyFill="1" applyBorder="1" applyAlignment="1">
      <alignment horizontal="left" vertical="top" wrapText="1"/>
    </xf>
    <xf numFmtId="0" fontId="42" fillId="10" borderId="80" xfId="0" applyFont="1" applyFill="1" applyBorder="1" applyAlignment="1">
      <alignment horizontal="left" vertical="top" wrapText="1"/>
    </xf>
    <xf numFmtId="0" fontId="18" fillId="2" borderId="4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1" fontId="18" fillId="2" borderId="47" xfId="0" applyNumberFormat="1" applyFont="1" applyFill="1" applyBorder="1" applyAlignment="1">
      <alignment horizontal="center" vertical="top" wrapText="1"/>
    </xf>
    <xf numFmtId="1" fontId="6" fillId="2" borderId="48" xfId="0" applyNumberFormat="1" applyFont="1" applyFill="1" applyBorder="1" applyAlignment="1">
      <alignment horizontal="center" vertical="top" wrapText="1"/>
    </xf>
    <xf numFmtId="1" fontId="5" fillId="0" borderId="50" xfId="0" applyNumberFormat="1" applyFont="1" applyBorder="1" applyAlignment="1">
      <alignment horizontal="left" vertical="top" shrinkToFit="1"/>
    </xf>
    <xf numFmtId="1" fontId="5" fillId="0" borderId="51" xfId="0" applyNumberFormat="1" applyFont="1" applyBorder="1" applyAlignment="1">
      <alignment horizontal="left" vertical="top" shrinkToFit="1"/>
    </xf>
    <xf numFmtId="2" fontId="5" fillId="0" borderId="42" xfId="0" applyNumberFormat="1" applyFont="1" applyBorder="1" applyAlignment="1">
      <alignment horizontal="left" vertical="top" indent="5" shrinkToFit="1"/>
    </xf>
    <xf numFmtId="2" fontId="5" fillId="0" borderId="52" xfId="0" applyNumberFormat="1" applyFont="1" applyBorder="1" applyAlignment="1">
      <alignment horizontal="left" vertical="top" indent="5" shrinkToFit="1"/>
    </xf>
    <xf numFmtId="2" fontId="5" fillId="0" borderId="30" xfId="0" applyNumberFormat="1" applyFont="1" applyBorder="1" applyAlignment="1">
      <alignment horizontal="left" vertical="top" indent="5" shrinkToFit="1"/>
    </xf>
    <xf numFmtId="2" fontId="5" fillId="0" borderId="32" xfId="0" applyNumberFormat="1" applyFont="1" applyBorder="1" applyAlignment="1">
      <alignment horizontal="left" vertical="top" indent="5" shrinkToFit="1"/>
    </xf>
    <xf numFmtId="0" fontId="12" fillId="0" borderId="75" xfId="0" applyFont="1" applyBorder="1" applyAlignment="1">
      <alignment horizontal="left" vertical="top" wrapText="1"/>
    </xf>
    <xf numFmtId="0" fontId="1" fillId="0" borderId="76" xfId="0" applyFont="1" applyBorder="1" applyAlignment="1">
      <alignment horizontal="left" vertical="top" wrapText="1"/>
    </xf>
    <xf numFmtId="0" fontId="1" fillId="0" borderId="77" xfId="0" applyFont="1" applyBorder="1" applyAlignment="1">
      <alignment horizontal="left" vertical="top" wrapText="1"/>
    </xf>
    <xf numFmtId="0" fontId="43" fillId="10" borderId="78" xfId="0" applyFont="1" applyFill="1" applyBorder="1" applyAlignment="1">
      <alignment horizontal="left" vertical="top" wrapText="1"/>
    </xf>
    <xf numFmtId="0" fontId="43" fillId="10" borderId="79" xfId="0" applyFont="1" applyFill="1" applyBorder="1" applyAlignment="1">
      <alignment horizontal="left" vertical="top" wrapText="1"/>
    </xf>
    <xf numFmtId="0" fontId="43" fillId="10" borderId="80" xfId="0" applyFont="1" applyFill="1" applyBorder="1" applyAlignment="1">
      <alignment horizontal="left" vertical="top" wrapText="1"/>
    </xf>
    <xf numFmtId="1" fontId="44" fillId="0" borderId="96" xfId="0" applyNumberFormat="1" applyFont="1" applyBorder="1" applyAlignment="1">
      <alignment horizontal="center" vertical="top" shrinkToFit="1"/>
    </xf>
    <xf numFmtId="1" fontId="44" fillId="0" borderId="97" xfId="0" applyNumberFormat="1" applyFont="1" applyBorder="1" applyAlignment="1">
      <alignment horizontal="center" vertical="top" shrinkToFit="1"/>
    </xf>
    <xf numFmtId="0" fontId="6" fillId="2" borderId="4" xfId="0" applyFont="1" applyFill="1" applyBorder="1" applyAlignment="1">
      <alignment horizontal="left" vertical="top" wrapText="1"/>
    </xf>
    <xf numFmtId="1" fontId="5" fillId="0" borderId="47" xfId="0" applyNumberFormat="1" applyFont="1" applyBorder="1" applyAlignment="1">
      <alignment horizontal="left" vertical="top" shrinkToFit="1"/>
    </xf>
    <xf numFmtId="1" fontId="5" fillId="0" borderId="48" xfId="0" applyNumberFormat="1" applyFont="1" applyBorder="1" applyAlignment="1">
      <alignment horizontal="left" vertical="top" shrinkToFit="1"/>
    </xf>
    <xf numFmtId="2" fontId="5" fillId="0" borderId="47" xfId="0" applyNumberFormat="1" applyFont="1" applyBorder="1" applyAlignment="1">
      <alignment horizontal="left" vertical="top" indent="4" shrinkToFit="1"/>
    </xf>
    <xf numFmtId="2" fontId="5" fillId="0" borderId="48" xfId="0" applyNumberFormat="1" applyFont="1" applyBorder="1" applyAlignment="1">
      <alignment horizontal="left" vertical="top" indent="4" shrinkToFit="1"/>
    </xf>
    <xf numFmtId="0" fontId="6" fillId="2" borderId="42" xfId="0" applyFont="1" applyFill="1" applyBorder="1" applyAlignment="1">
      <alignment horizontal="left" vertical="top" wrapText="1"/>
    </xf>
    <xf numFmtId="0" fontId="6" fillId="2" borderId="88" xfId="0" applyFont="1" applyFill="1" applyBorder="1" applyAlignment="1">
      <alignment horizontal="left" vertical="top" wrapText="1"/>
    </xf>
    <xf numFmtId="1" fontId="6" fillId="2" borderId="42" xfId="0" applyNumberFormat="1" applyFont="1" applyFill="1" applyBorder="1" applyAlignment="1">
      <alignment horizontal="center" vertical="top" wrapText="1"/>
    </xf>
    <xf numFmtId="1" fontId="6" fillId="2" borderId="88" xfId="0" applyNumberFormat="1" applyFont="1" applyFill="1" applyBorder="1" applyAlignment="1">
      <alignment horizontal="center" vertical="top" wrapText="1"/>
    </xf>
    <xf numFmtId="1" fontId="6" fillId="2" borderId="52" xfId="0" applyNumberFormat="1" applyFont="1" applyFill="1" applyBorder="1" applyAlignment="1">
      <alignment horizontal="center" vertical="top" wrapText="1"/>
    </xf>
    <xf numFmtId="1" fontId="5" fillId="0" borderId="89" xfId="0" applyNumberFormat="1" applyFont="1" applyBorder="1" applyAlignment="1">
      <alignment horizontal="center" vertical="top" shrinkToFit="1"/>
    </xf>
    <xf numFmtId="1" fontId="5" fillId="0" borderId="90" xfId="0" applyNumberFormat="1" applyFont="1" applyBorder="1" applyAlignment="1">
      <alignment horizontal="center" vertical="top" shrinkToFit="1"/>
    </xf>
    <xf numFmtId="1" fontId="5" fillId="0" borderId="47" xfId="0" applyNumberFormat="1" applyFont="1" applyBorder="1" applyAlignment="1">
      <alignment horizontal="center" vertical="top" shrinkToFit="1"/>
    </xf>
    <xf numFmtId="1" fontId="5" fillId="0" borderId="48" xfId="0" applyNumberFormat="1" applyFont="1" applyBorder="1" applyAlignment="1">
      <alignment horizontal="center" vertical="top" shrinkToFit="1"/>
    </xf>
    <xf numFmtId="0" fontId="6" fillId="2" borderId="14" xfId="0" applyFont="1" applyFill="1" applyBorder="1" applyAlignment="1">
      <alignment horizontal="left" vertical="top" wrapText="1"/>
    </xf>
    <xf numFmtId="1" fontId="5" fillId="0" borderId="75" xfId="0" applyNumberFormat="1" applyFont="1" applyBorder="1" applyAlignment="1">
      <alignment horizontal="center" vertical="top" shrinkToFit="1"/>
    </xf>
    <xf numFmtId="1" fontId="5" fillId="0" borderId="91" xfId="0" applyNumberFormat="1" applyFont="1" applyBorder="1" applyAlignment="1">
      <alignment horizontal="center" vertical="top" shrinkToFit="1"/>
    </xf>
    <xf numFmtId="1" fontId="5" fillId="0" borderId="77" xfId="0" applyNumberFormat="1" applyFont="1" applyBorder="1" applyAlignment="1">
      <alignment horizontal="center" vertical="top" shrinkToFit="1"/>
    </xf>
    <xf numFmtId="1" fontId="6" fillId="2" borderId="47" xfId="0" applyNumberFormat="1" applyFont="1" applyFill="1" applyBorder="1" applyAlignment="1">
      <alignment horizontal="center" vertical="top" wrapText="1"/>
    </xf>
    <xf numFmtId="1" fontId="6" fillId="2" borderId="49" xfId="0" applyNumberFormat="1" applyFont="1" applyFill="1" applyBorder="1" applyAlignment="1">
      <alignment horizontal="center" vertical="top" wrapText="1"/>
    </xf>
    <xf numFmtId="1" fontId="8" fillId="0" borderId="47" xfId="0" applyNumberFormat="1" applyFont="1" applyBorder="1" applyAlignment="1">
      <alignment horizontal="center" vertical="top" wrapText="1"/>
    </xf>
    <xf numFmtId="1" fontId="8" fillId="0" borderId="48" xfId="0" applyNumberFormat="1" applyFont="1" applyBorder="1" applyAlignment="1">
      <alignment horizontal="center" vertical="top" wrapText="1"/>
    </xf>
    <xf numFmtId="0" fontId="6" fillId="2" borderId="47" xfId="0" applyFont="1" applyFill="1" applyBorder="1" applyAlignment="1">
      <alignment horizontal="center" vertical="top" wrapText="1"/>
    </xf>
    <xf numFmtId="0" fontId="6" fillId="2" borderId="49" xfId="0" applyFont="1" applyFill="1" applyBorder="1" applyAlignment="1">
      <alignment horizontal="center" vertical="top" wrapText="1"/>
    </xf>
    <xf numFmtId="0" fontId="6" fillId="2" borderId="48" xfId="0" applyFont="1" applyFill="1" applyBorder="1" applyAlignment="1">
      <alignment horizontal="center" vertical="top" wrapText="1"/>
    </xf>
    <xf numFmtId="0" fontId="1" fillId="0" borderId="75" xfId="0" applyFont="1" applyBorder="1" applyAlignment="1">
      <alignment vertical="top" wrapText="1"/>
    </xf>
    <xf numFmtId="0" fontId="1" fillId="0" borderId="76" xfId="0" applyFont="1" applyBorder="1" applyAlignment="1">
      <alignment vertical="top" wrapText="1"/>
    </xf>
    <xf numFmtId="0" fontId="1" fillId="0" borderId="77" xfId="0" applyFont="1" applyBorder="1" applyAlignment="1">
      <alignment vertical="top" wrapText="1"/>
    </xf>
    <xf numFmtId="1" fontId="6" fillId="2" borderId="42" xfId="0" applyNumberFormat="1" applyFont="1" applyFill="1" applyBorder="1" applyAlignment="1">
      <alignment horizontal="left" vertical="top" wrapText="1"/>
    </xf>
    <xf numFmtId="1" fontId="6" fillId="2" borderId="88" xfId="0" applyNumberFormat="1" applyFont="1" applyFill="1" applyBorder="1" applyAlignment="1">
      <alignment horizontal="left" vertical="top" wrapText="1"/>
    </xf>
    <xf numFmtId="1" fontId="6" fillId="2" borderId="52" xfId="0" applyNumberFormat="1" applyFont="1" applyFill="1" applyBorder="1" applyAlignment="1">
      <alignment horizontal="left" vertical="top" wrapText="1"/>
    </xf>
  </cellXfs>
  <cellStyles count="4">
    <cellStyle name="Komma" xfId="2" builtinId="3"/>
    <cellStyle name="Procent" xfId="1" builtinId="5"/>
    <cellStyle name="Standaard" xfId="0" builtinId="0"/>
    <cellStyle name="Valuta" xfId="3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19697</xdr:colOff>
      <xdr:row>0</xdr:row>
      <xdr:rowOff>2225326</xdr:rowOff>
    </xdr:from>
    <xdr:ext cx="533400" cy="22796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257822" y="2225326"/>
          <a:ext cx="533400" cy="227965"/>
        </a:xfrm>
        <a:custGeom>
          <a:avLst/>
          <a:gdLst/>
          <a:ahLst/>
          <a:cxnLst/>
          <a:rect l="0" t="0" r="0" b="0"/>
          <a:pathLst>
            <a:path w="533400" h="227965">
              <a:moveTo>
                <a:pt x="532879" y="227520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  <xdr:oneCellAnchor>
    <xdr:from>
      <xdr:col>1</xdr:col>
      <xdr:colOff>533</xdr:colOff>
      <xdr:row>10</xdr:row>
      <xdr:rowOff>232862</xdr:rowOff>
    </xdr:from>
    <xdr:ext cx="533400" cy="227965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0" y="0"/>
          <a:ext cx="533400" cy="227965"/>
        </a:xfrm>
        <a:custGeom>
          <a:avLst/>
          <a:gdLst/>
          <a:ahLst/>
          <a:cxnLst/>
          <a:rect l="0" t="0" r="0" b="0"/>
          <a:pathLst>
            <a:path w="533400" h="227965">
              <a:moveTo>
                <a:pt x="532879" y="227520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128912</xdr:colOff>
      <xdr:row>1</xdr:row>
      <xdr:rowOff>3121</xdr:rowOff>
    </xdr:from>
    <xdr:ext cx="325120" cy="181610"/>
    <xdr:sp macro="" textlink="">
      <xdr:nvSpPr>
        <xdr:cNvPr id="2" name="Shape 605">
          <a:extLst>
            <a:ext uri="{FF2B5EF4-FFF2-40B4-BE49-F238E27FC236}">
              <a16:creationId xmlns:a16="http://schemas.microsoft.com/office/drawing/2014/main" id="{D28041FA-1EF8-4422-AD7E-8072028C448B}"/>
            </a:ext>
          </a:extLst>
        </xdr:cNvPr>
        <xdr:cNvSpPr/>
      </xdr:nvSpPr>
      <xdr:spPr>
        <a:xfrm>
          <a:off x="243212" y="536521"/>
          <a:ext cx="325120" cy="181610"/>
        </a:xfrm>
        <a:custGeom>
          <a:avLst/>
          <a:gdLst/>
          <a:ahLst/>
          <a:cxnLst/>
          <a:rect l="0" t="0" r="0" b="0"/>
          <a:pathLst>
            <a:path w="325120" h="181610">
              <a:moveTo>
                <a:pt x="324523" y="181432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  <xdr:absoluteAnchor>
    <xdr:pos x="252737" y="2903030"/>
    <xdr:ext cx="325120" cy="181610"/>
    <xdr:sp macro="" textlink="">
      <xdr:nvSpPr>
        <xdr:cNvPr id="3" name="Shape 606">
          <a:extLst>
            <a:ext uri="{FF2B5EF4-FFF2-40B4-BE49-F238E27FC236}">
              <a16:creationId xmlns:a16="http://schemas.microsoft.com/office/drawing/2014/main" id="{994F6B07-A909-4C4F-8CE4-4997A821B4E0}"/>
            </a:ext>
          </a:extLst>
        </xdr:cNvPr>
        <xdr:cNvSpPr/>
      </xdr:nvSpPr>
      <xdr:spPr>
        <a:xfrm>
          <a:off x="252737" y="2903030"/>
          <a:ext cx="325120" cy="181610"/>
        </a:xfrm>
        <a:custGeom>
          <a:avLst/>
          <a:gdLst/>
          <a:ahLst/>
          <a:cxnLst/>
          <a:rect l="0" t="0" r="0" b="0"/>
          <a:pathLst>
            <a:path w="325120" h="181610">
              <a:moveTo>
                <a:pt x="324523" y="181432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520030</xdr:colOff>
      <xdr:row>28</xdr:row>
      <xdr:rowOff>0</xdr:rowOff>
    </xdr:from>
    <xdr:ext cx="635" cy="15240"/>
    <xdr:sp macro="" textlink="">
      <xdr:nvSpPr>
        <xdr:cNvPr id="2" name="Shape 66">
          <a:extLst>
            <a:ext uri="{FF2B5EF4-FFF2-40B4-BE49-F238E27FC236}">
              <a16:creationId xmlns:a16="http://schemas.microsoft.com/office/drawing/2014/main" id="{026E04AD-3F8A-4A51-8E64-0BE7561E6F32}"/>
            </a:ext>
          </a:extLst>
        </xdr:cNvPr>
        <xdr:cNvSpPr/>
      </xdr:nvSpPr>
      <xdr:spPr>
        <a:xfrm>
          <a:off x="5863555" y="6660347"/>
          <a:ext cx="635" cy="15240"/>
        </a:xfrm>
        <a:custGeom>
          <a:avLst/>
          <a:gdLst/>
          <a:ahLst/>
          <a:cxnLst/>
          <a:rect l="0" t="0" r="0" b="0"/>
          <a:pathLst>
            <a:path w="635" h="15240">
              <a:moveTo>
                <a:pt x="0" y="14643"/>
              </a:moveTo>
              <a:lnTo>
                <a:pt x="114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11</xdr:col>
      <xdr:colOff>520148</xdr:colOff>
      <xdr:row>27</xdr:row>
      <xdr:rowOff>127990</xdr:rowOff>
    </xdr:from>
    <xdr:ext cx="0" cy="15240"/>
    <xdr:sp macro="" textlink="">
      <xdr:nvSpPr>
        <xdr:cNvPr id="3" name="Shape 68">
          <a:extLst>
            <a:ext uri="{FF2B5EF4-FFF2-40B4-BE49-F238E27FC236}">
              <a16:creationId xmlns:a16="http://schemas.microsoft.com/office/drawing/2014/main" id="{E48068D7-510D-45CE-89C4-E83744CA5858}"/>
            </a:ext>
          </a:extLst>
        </xdr:cNvPr>
        <xdr:cNvSpPr/>
      </xdr:nvSpPr>
      <xdr:spPr>
        <a:xfrm>
          <a:off x="5863673" y="6490690"/>
          <a:ext cx="0" cy="15240"/>
        </a:xfrm>
        <a:custGeom>
          <a:avLst/>
          <a:gdLst/>
          <a:ahLst/>
          <a:cxnLst/>
          <a:rect l="0" t="0" r="0" b="0"/>
          <a:pathLst>
            <a:path h="15240">
              <a:moveTo>
                <a:pt x="0" y="0"/>
              </a:moveTo>
              <a:lnTo>
                <a:pt x="0" y="14643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19697</xdr:colOff>
      <xdr:row>0</xdr:row>
      <xdr:rowOff>2225326</xdr:rowOff>
    </xdr:from>
    <xdr:ext cx="533400" cy="227965"/>
    <xdr:sp macro="" textlink="">
      <xdr:nvSpPr>
        <xdr:cNvPr id="4" name="Shape 80">
          <a:extLst>
            <a:ext uri="{FF2B5EF4-FFF2-40B4-BE49-F238E27FC236}">
              <a16:creationId xmlns:a16="http://schemas.microsoft.com/office/drawing/2014/main" id="{15A3A357-4A57-49A8-9E31-B40E47C1F779}"/>
            </a:ext>
          </a:extLst>
        </xdr:cNvPr>
        <xdr:cNvSpPr/>
      </xdr:nvSpPr>
      <xdr:spPr>
        <a:xfrm>
          <a:off x="257822" y="577501"/>
          <a:ext cx="533400" cy="227965"/>
        </a:xfrm>
        <a:custGeom>
          <a:avLst/>
          <a:gdLst/>
          <a:ahLst/>
          <a:cxnLst/>
          <a:rect l="0" t="0" r="0" b="0"/>
          <a:pathLst>
            <a:path w="533400" h="227965">
              <a:moveTo>
                <a:pt x="532879" y="227520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  <xdr:oneCellAnchor>
    <xdr:from>
      <xdr:col>1</xdr:col>
      <xdr:colOff>533</xdr:colOff>
      <xdr:row>10</xdr:row>
      <xdr:rowOff>232862</xdr:rowOff>
    </xdr:from>
    <xdr:ext cx="533400" cy="227965"/>
    <xdr:sp macro="" textlink="">
      <xdr:nvSpPr>
        <xdr:cNvPr id="5" name="Shape 81">
          <a:extLst>
            <a:ext uri="{FF2B5EF4-FFF2-40B4-BE49-F238E27FC236}">
              <a16:creationId xmlns:a16="http://schemas.microsoft.com/office/drawing/2014/main" id="{901B8636-6408-4F51-8E04-3D8DFB23A11C}"/>
            </a:ext>
          </a:extLst>
        </xdr:cNvPr>
        <xdr:cNvSpPr/>
      </xdr:nvSpPr>
      <xdr:spPr>
        <a:xfrm>
          <a:off x="238658" y="2890337"/>
          <a:ext cx="533400" cy="227965"/>
        </a:xfrm>
        <a:custGeom>
          <a:avLst/>
          <a:gdLst/>
          <a:ahLst/>
          <a:cxnLst/>
          <a:rect l="0" t="0" r="0" b="0"/>
          <a:pathLst>
            <a:path w="533400" h="227965">
              <a:moveTo>
                <a:pt x="532879" y="227520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128912</xdr:colOff>
      <xdr:row>1</xdr:row>
      <xdr:rowOff>3121</xdr:rowOff>
    </xdr:from>
    <xdr:ext cx="325120" cy="181610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600-00005D020000}"/>
            </a:ext>
          </a:extLst>
        </xdr:cNvPr>
        <xdr:cNvSpPr/>
      </xdr:nvSpPr>
      <xdr:spPr>
        <a:xfrm>
          <a:off x="243212" y="860371"/>
          <a:ext cx="325120" cy="181610"/>
        </a:xfrm>
        <a:custGeom>
          <a:avLst/>
          <a:gdLst/>
          <a:ahLst/>
          <a:cxnLst/>
          <a:rect l="0" t="0" r="0" b="0"/>
          <a:pathLst>
            <a:path w="325120" h="181610">
              <a:moveTo>
                <a:pt x="324523" y="181432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  <xdr:absoluteAnchor>
    <xdr:pos x="281312" y="3341180"/>
    <xdr:ext cx="325120" cy="18161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600-00005E020000}"/>
            </a:ext>
          </a:extLst>
        </xdr:cNvPr>
        <xdr:cNvSpPr/>
      </xdr:nvSpPr>
      <xdr:spPr>
        <a:xfrm>
          <a:off x="281312" y="3341180"/>
          <a:ext cx="325120" cy="181610"/>
        </a:xfrm>
        <a:custGeom>
          <a:avLst/>
          <a:gdLst/>
          <a:ahLst/>
          <a:cxnLst/>
          <a:rect l="0" t="0" r="0" b="0"/>
          <a:pathLst>
            <a:path w="325120" h="181610">
              <a:moveTo>
                <a:pt x="324523" y="181432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143922</xdr:colOff>
      <xdr:row>1</xdr:row>
      <xdr:rowOff>12999</xdr:rowOff>
    </xdr:from>
    <xdr:ext cx="357505" cy="198755"/>
    <xdr:sp macro="" textlink="">
      <xdr:nvSpPr>
        <xdr:cNvPr id="2" name="Shape 865">
          <a:extLst>
            <a:ext uri="{FF2B5EF4-FFF2-40B4-BE49-F238E27FC236}">
              <a16:creationId xmlns:a16="http://schemas.microsoft.com/office/drawing/2014/main" id="{43E4A053-58EE-49E4-B8E2-7A225B00696A}"/>
            </a:ext>
          </a:extLst>
        </xdr:cNvPr>
        <xdr:cNvSpPr/>
      </xdr:nvSpPr>
      <xdr:spPr>
        <a:xfrm>
          <a:off x="248697" y="870249"/>
          <a:ext cx="357505" cy="198755"/>
        </a:xfrm>
        <a:custGeom>
          <a:avLst/>
          <a:gdLst/>
          <a:ahLst/>
          <a:cxnLst/>
          <a:rect l="0" t="0" r="0" b="0"/>
          <a:pathLst>
            <a:path w="357505" h="198755">
              <a:moveTo>
                <a:pt x="357365" y="198716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12999</xdr:rowOff>
    </xdr:from>
    <xdr:ext cx="357505" cy="198755"/>
    <xdr:sp macro="" textlink="">
      <xdr:nvSpPr>
        <xdr:cNvPr id="865" name="Shape 865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/>
      </xdr:nvSpPr>
      <xdr:spPr>
        <a:xfrm>
          <a:off x="248697" y="870249"/>
          <a:ext cx="357505" cy="198755"/>
        </a:xfrm>
        <a:custGeom>
          <a:avLst/>
          <a:gdLst/>
          <a:ahLst/>
          <a:cxnLst/>
          <a:rect l="0" t="0" r="0" b="0"/>
          <a:pathLst>
            <a:path w="357505" h="198755">
              <a:moveTo>
                <a:pt x="357365" y="198716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</xdr:row>
      <xdr:rowOff>3371</xdr:rowOff>
    </xdr:from>
    <xdr:ext cx="394335" cy="241300"/>
    <xdr:sp macro="" textlink="">
      <xdr:nvSpPr>
        <xdr:cNvPr id="2" name="Shape 901">
          <a:extLst>
            <a:ext uri="{FF2B5EF4-FFF2-40B4-BE49-F238E27FC236}">
              <a16:creationId xmlns:a16="http://schemas.microsoft.com/office/drawing/2014/main" id="{1029434D-8D7D-4E8A-8CE5-0DFD0F6C5942}"/>
            </a:ext>
          </a:extLst>
        </xdr:cNvPr>
        <xdr:cNvSpPr/>
      </xdr:nvSpPr>
      <xdr:spPr>
        <a:xfrm>
          <a:off x="38100" y="1193996"/>
          <a:ext cx="394335" cy="241300"/>
        </a:xfrm>
        <a:custGeom>
          <a:avLst/>
          <a:gdLst/>
          <a:ahLst/>
          <a:cxnLst/>
          <a:rect l="0" t="0" r="0" b="0"/>
          <a:pathLst>
            <a:path w="394335" h="241300">
              <a:moveTo>
                <a:pt x="393839" y="240906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  <xdr:oneCellAnchor>
    <xdr:from>
      <xdr:col>1</xdr:col>
      <xdr:colOff>19050</xdr:colOff>
      <xdr:row>1</xdr:row>
      <xdr:rowOff>1</xdr:rowOff>
    </xdr:from>
    <xdr:ext cx="407670" cy="213359"/>
    <xdr:sp macro="" textlink="">
      <xdr:nvSpPr>
        <xdr:cNvPr id="4" name="Shape 898">
          <a:extLst>
            <a:ext uri="{FF2B5EF4-FFF2-40B4-BE49-F238E27FC236}">
              <a16:creationId xmlns:a16="http://schemas.microsoft.com/office/drawing/2014/main" id="{13B1772A-A4FA-4016-9B51-4CA16F29488B}"/>
            </a:ext>
          </a:extLst>
        </xdr:cNvPr>
        <xdr:cNvSpPr/>
      </xdr:nvSpPr>
      <xdr:spPr>
        <a:xfrm>
          <a:off x="438150" y="1190626"/>
          <a:ext cx="407670" cy="213359"/>
        </a:xfrm>
        <a:custGeom>
          <a:avLst/>
          <a:gdLst/>
          <a:ahLst/>
          <a:cxnLst/>
          <a:rect l="0" t="0" r="0" b="0"/>
          <a:pathLst>
            <a:path w="431165" h="241300">
              <a:moveTo>
                <a:pt x="430555" y="240995"/>
              </a:moveTo>
              <a:lnTo>
                <a:pt x="0" y="0"/>
              </a:lnTo>
            </a:path>
          </a:pathLst>
        </a:custGeom>
        <a:ln w="6349">
          <a:solidFill>
            <a:srgbClr val="A7A9AC"/>
          </a:solidFill>
        </a:ln>
      </xdr:spPr>
    </xdr:sp>
    <xdr:clientData/>
  </xdr:oneCellAnchor>
  <xdr:oneCellAnchor>
    <xdr:from>
      <xdr:col>26</xdr:col>
      <xdr:colOff>38100</xdr:colOff>
      <xdr:row>1</xdr:row>
      <xdr:rowOff>3371</xdr:rowOff>
    </xdr:from>
    <xdr:ext cx="394335" cy="241300"/>
    <xdr:sp macro="" textlink="">
      <xdr:nvSpPr>
        <xdr:cNvPr id="5" name="Shape 901">
          <a:extLst>
            <a:ext uri="{FF2B5EF4-FFF2-40B4-BE49-F238E27FC236}">
              <a16:creationId xmlns:a16="http://schemas.microsoft.com/office/drawing/2014/main" id="{1C1BB04C-D4EB-4829-A1E9-B49FC35434F4}"/>
            </a:ext>
          </a:extLst>
        </xdr:cNvPr>
        <xdr:cNvSpPr/>
      </xdr:nvSpPr>
      <xdr:spPr>
        <a:xfrm>
          <a:off x="38100" y="784421"/>
          <a:ext cx="394335" cy="241300"/>
        </a:xfrm>
        <a:custGeom>
          <a:avLst/>
          <a:gdLst/>
          <a:ahLst/>
          <a:cxnLst/>
          <a:rect l="0" t="0" r="0" b="0"/>
          <a:pathLst>
            <a:path w="394335" h="241300">
              <a:moveTo>
                <a:pt x="393839" y="240906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  <xdr:oneCellAnchor>
    <xdr:from>
      <xdr:col>27</xdr:col>
      <xdr:colOff>66675</xdr:colOff>
      <xdr:row>1</xdr:row>
      <xdr:rowOff>1</xdr:rowOff>
    </xdr:from>
    <xdr:ext cx="407670" cy="213359"/>
    <xdr:sp macro="" textlink="">
      <xdr:nvSpPr>
        <xdr:cNvPr id="7" name="Shape 898">
          <a:extLst>
            <a:ext uri="{FF2B5EF4-FFF2-40B4-BE49-F238E27FC236}">
              <a16:creationId xmlns:a16="http://schemas.microsoft.com/office/drawing/2014/main" id="{6311CD67-AEE3-4835-909B-9D57BC9DBD7A}"/>
            </a:ext>
          </a:extLst>
        </xdr:cNvPr>
        <xdr:cNvSpPr/>
      </xdr:nvSpPr>
      <xdr:spPr>
        <a:xfrm>
          <a:off x="11496675" y="1190626"/>
          <a:ext cx="407670" cy="213359"/>
        </a:xfrm>
        <a:custGeom>
          <a:avLst/>
          <a:gdLst/>
          <a:ahLst/>
          <a:cxnLst/>
          <a:rect l="0" t="0" r="0" b="0"/>
          <a:pathLst>
            <a:path w="431165" h="241300">
              <a:moveTo>
                <a:pt x="430555" y="240995"/>
              </a:moveTo>
              <a:lnTo>
                <a:pt x="0" y="0"/>
              </a:lnTo>
            </a:path>
          </a:pathLst>
        </a:custGeom>
        <a:ln w="6349">
          <a:solidFill>
            <a:srgbClr val="A7A9AC"/>
          </a:solidFill>
        </a:ln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</xdr:row>
      <xdr:rowOff>3371</xdr:rowOff>
    </xdr:from>
    <xdr:ext cx="394335" cy="241300"/>
    <xdr:sp macro="" textlink="">
      <xdr:nvSpPr>
        <xdr:cNvPr id="901" name="Shape 901">
          <a:extLst>
            <a:ext uri="{FF2B5EF4-FFF2-40B4-BE49-F238E27FC236}">
              <a16:creationId xmlns:a16="http://schemas.microsoft.com/office/drawing/2014/main" id="{00000000-0008-0000-0A00-000085030000}"/>
            </a:ext>
          </a:extLst>
        </xdr:cNvPr>
        <xdr:cNvSpPr/>
      </xdr:nvSpPr>
      <xdr:spPr>
        <a:xfrm>
          <a:off x="38100" y="2251271"/>
          <a:ext cx="394335" cy="241300"/>
        </a:xfrm>
        <a:custGeom>
          <a:avLst/>
          <a:gdLst/>
          <a:ahLst/>
          <a:cxnLst/>
          <a:rect l="0" t="0" r="0" b="0"/>
          <a:pathLst>
            <a:path w="394335" h="241300">
              <a:moveTo>
                <a:pt x="393839" y="240906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  <xdr:oneCellAnchor>
    <xdr:from>
      <xdr:col>0</xdr:col>
      <xdr:colOff>38100</xdr:colOff>
      <xdr:row>1</xdr:row>
      <xdr:rowOff>0</xdr:rowOff>
    </xdr:from>
    <xdr:ext cx="394335" cy="241300"/>
    <xdr:sp macro="" textlink="">
      <xdr:nvSpPr>
        <xdr:cNvPr id="10" name="Shape 901">
          <a:extLst>
            <a:ext uri="{FF2B5EF4-FFF2-40B4-BE49-F238E27FC236}">
              <a16:creationId xmlns:a16="http://schemas.microsoft.com/office/drawing/2014/main" id="{835C488A-B466-4DE7-BA9C-DC55333898EF}"/>
            </a:ext>
          </a:extLst>
        </xdr:cNvPr>
        <xdr:cNvSpPr/>
      </xdr:nvSpPr>
      <xdr:spPr>
        <a:xfrm>
          <a:off x="38100" y="609600"/>
          <a:ext cx="394335" cy="241300"/>
        </a:xfrm>
        <a:custGeom>
          <a:avLst/>
          <a:gdLst/>
          <a:ahLst/>
          <a:cxnLst/>
          <a:rect l="0" t="0" r="0" b="0"/>
          <a:pathLst>
            <a:path w="394335" h="241300">
              <a:moveTo>
                <a:pt x="393839" y="240906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  <xdr:oneCellAnchor>
    <xdr:from>
      <xdr:col>1</xdr:col>
      <xdr:colOff>19050</xdr:colOff>
      <xdr:row>1</xdr:row>
      <xdr:rowOff>1</xdr:rowOff>
    </xdr:from>
    <xdr:ext cx="407670" cy="213359"/>
    <xdr:sp macro="" textlink="">
      <xdr:nvSpPr>
        <xdr:cNvPr id="12" name="Shape 898">
          <a:extLst>
            <a:ext uri="{FF2B5EF4-FFF2-40B4-BE49-F238E27FC236}">
              <a16:creationId xmlns:a16="http://schemas.microsoft.com/office/drawing/2014/main" id="{D3F10B28-99A9-4F07-9409-7161F381AEF5}"/>
            </a:ext>
          </a:extLst>
        </xdr:cNvPr>
        <xdr:cNvSpPr/>
      </xdr:nvSpPr>
      <xdr:spPr>
        <a:xfrm>
          <a:off x="438150" y="2247901"/>
          <a:ext cx="407670" cy="213359"/>
        </a:xfrm>
        <a:custGeom>
          <a:avLst/>
          <a:gdLst/>
          <a:ahLst/>
          <a:cxnLst/>
          <a:rect l="0" t="0" r="0" b="0"/>
          <a:pathLst>
            <a:path w="431165" h="241300">
              <a:moveTo>
                <a:pt x="430555" y="240995"/>
              </a:moveTo>
              <a:lnTo>
                <a:pt x="0" y="0"/>
              </a:lnTo>
            </a:path>
          </a:pathLst>
        </a:custGeom>
        <a:ln w="6349">
          <a:solidFill>
            <a:srgbClr val="A7A9AC"/>
          </a:solidFill>
        </a:ln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</xdr:row>
      <xdr:rowOff>3371</xdr:rowOff>
    </xdr:from>
    <xdr:ext cx="394335" cy="241300"/>
    <xdr:sp macro="" textlink="">
      <xdr:nvSpPr>
        <xdr:cNvPr id="2" name="Shape 901">
          <a:extLst>
            <a:ext uri="{FF2B5EF4-FFF2-40B4-BE49-F238E27FC236}">
              <a16:creationId xmlns:a16="http://schemas.microsoft.com/office/drawing/2014/main" id="{4CCE2A2A-43A8-442A-9C0B-E4C80348AEEF}"/>
            </a:ext>
          </a:extLst>
        </xdr:cNvPr>
        <xdr:cNvSpPr/>
      </xdr:nvSpPr>
      <xdr:spPr>
        <a:xfrm>
          <a:off x="38100" y="784421"/>
          <a:ext cx="394335" cy="241300"/>
        </a:xfrm>
        <a:custGeom>
          <a:avLst/>
          <a:gdLst/>
          <a:ahLst/>
          <a:cxnLst/>
          <a:rect l="0" t="0" r="0" b="0"/>
          <a:pathLst>
            <a:path w="394335" h="241300">
              <a:moveTo>
                <a:pt x="393839" y="240906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  <xdr:oneCellAnchor>
    <xdr:from>
      <xdr:col>0</xdr:col>
      <xdr:colOff>38100</xdr:colOff>
      <xdr:row>1</xdr:row>
      <xdr:rowOff>0</xdr:rowOff>
    </xdr:from>
    <xdr:ext cx="394335" cy="241300"/>
    <xdr:sp macro="" textlink="">
      <xdr:nvSpPr>
        <xdr:cNvPr id="3" name="Shape 901">
          <a:extLst>
            <a:ext uri="{FF2B5EF4-FFF2-40B4-BE49-F238E27FC236}">
              <a16:creationId xmlns:a16="http://schemas.microsoft.com/office/drawing/2014/main" id="{12FC5DF4-BE49-42FF-A82E-A36EBF5D5610}"/>
            </a:ext>
          </a:extLst>
        </xdr:cNvPr>
        <xdr:cNvSpPr/>
      </xdr:nvSpPr>
      <xdr:spPr>
        <a:xfrm>
          <a:off x="38100" y="781050"/>
          <a:ext cx="394335" cy="241300"/>
        </a:xfrm>
        <a:custGeom>
          <a:avLst/>
          <a:gdLst/>
          <a:ahLst/>
          <a:cxnLst/>
          <a:rect l="0" t="0" r="0" b="0"/>
          <a:pathLst>
            <a:path w="394335" h="241300">
              <a:moveTo>
                <a:pt x="393839" y="240906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  <xdr:oneCellAnchor>
    <xdr:from>
      <xdr:col>1</xdr:col>
      <xdr:colOff>19050</xdr:colOff>
      <xdr:row>1</xdr:row>
      <xdr:rowOff>1</xdr:rowOff>
    </xdr:from>
    <xdr:ext cx="407670" cy="213359"/>
    <xdr:sp macro="" textlink="">
      <xdr:nvSpPr>
        <xdr:cNvPr id="4" name="Shape 898">
          <a:extLst>
            <a:ext uri="{FF2B5EF4-FFF2-40B4-BE49-F238E27FC236}">
              <a16:creationId xmlns:a16="http://schemas.microsoft.com/office/drawing/2014/main" id="{A6C0B911-11F6-41CC-9122-42209149F8A2}"/>
            </a:ext>
          </a:extLst>
        </xdr:cNvPr>
        <xdr:cNvSpPr/>
      </xdr:nvSpPr>
      <xdr:spPr>
        <a:xfrm>
          <a:off x="438150" y="781051"/>
          <a:ext cx="407670" cy="213359"/>
        </a:xfrm>
        <a:custGeom>
          <a:avLst/>
          <a:gdLst/>
          <a:ahLst/>
          <a:cxnLst/>
          <a:rect l="0" t="0" r="0" b="0"/>
          <a:pathLst>
            <a:path w="431165" h="241300">
              <a:moveTo>
                <a:pt x="430555" y="240995"/>
              </a:moveTo>
              <a:lnTo>
                <a:pt x="0" y="0"/>
              </a:lnTo>
            </a:path>
          </a:pathLst>
        </a:custGeom>
        <a:ln w="6349">
          <a:solidFill>
            <a:srgbClr val="A7A9AC"/>
          </a:solidFill>
        </a:ln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2463958</xdr:colOff>
      <xdr:row>0</xdr:row>
      <xdr:rowOff>0</xdr:rowOff>
    </xdr:from>
    <xdr:ext cx="0" cy="18415"/>
    <xdr:sp macro="" textlink="">
      <xdr:nvSpPr>
        <xdr:cNvPr id="2" name="Shape 1350">
          <a:extLst>
            <a:ext uri="{FF2B5EF4-FFF2-40B4-BE49-F238E27FC236}">
              <a16:creationId xmlns:a16="http://schemas.microsoft.com/office/drawing/2014/main" id="{8344EBA9-75CC-4148-AD33-6D738AD872AA}"/>
            </a:ext>
          </a:extLst>
        </xdr:cNvPr>
        <xdr:cNvSpPr/>
      </xdr:nvSpPr>
      <xdr:spPr>
        <a:xfrm>
          <a:off x="492283" y="0"/>
          <a:ext cx="0" cy="18415"/>
        </a:xfrm>
        <a:custGeom>
          <a:avLst/>
          <a:gdLst/>
          <a:ahLst/>
          <a:cxnLst/>
          <a:rect l="0" t="0" r="0" b="0"/>
          <a:pathLst>
            <a:path h="18415">
              <a:moveTo>
                <a:pt x="0" y="0"/>
              </a:moveTo>
              <a:lnTo>
                <a:pt x="0" y="17856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2463958</xdr:colOff>
      <xdr:row>0</xdr:row>
      <xdr:rowOff>0</xdr:rowOff>
    </xdr:from>
    <xdr:ext cx="0" cy="18415"/>
    <xdr:sp macro="" textlink="">
      <xdr:nvSpPr>
        <xdr:cNvPr id="3" name="Shape 1352">
          <a:extLst>
            <a:ext uri="{FF2B5EF4-FFF2-40B4-BE49-F238E27FC236}">
              <a16:creationId xmlns:a16="http://schemas.microsoft.com/office/drawing/2014/main" id="{A93B381E-8E5D-4F97-B34B-4A1A7E85B68B}"/>
            </a:ext>
          </a:extLst>
        </xdr:cNvPr>
        <xdr:cNvSpPr/>
      </xdr:nvSpPr>
      <xdr:spPr>
        <a:xfrm>
          <a:off x="492283" y="0"/>
          <a:ext cx="0" cy="18415"/>
        </a:xfrm>
        <a:custGeom>
          <a:avLst/>
          <a:gdLst/>
          <a:ahLst/>
          <a:cxnLst/>
          <a:rect l="0" t="0" r="0" b="0"/>
          <a:pathLst>
            <a:path h="18415">
              <a:moveTo>
                <a:pt x="0" y="1785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43814</xdr:colOff>
      <xdr:row>1</xdr:row>
      <xdr:rowOff>26670</xdr:rowOff>
    </xdr:from>
    <xdr:ext cx="329565" cy="224789"/>
    <xdr:sp macro="" textlink="">
      <xdr:nvSpPr>
        <xdr:cNvPr id="4" name="Shape 1355">
          <a:extLst>
            <a:ext uri="{FF2B5EF4-FFF2-40B4-BE49-F238E27FC236}">
              <a16:creationId xmlns:a16="http://schemas.microsoft.com/office/drawing/2014/main" id="{6BF2BE87-EF42-4114-AD2C-7B047CA08963}"/>
            </a:ext>
          </a:extLst>
        </xdr:cNvPr>
        <xdr:cNvSpPr/>
      </xdr:nvSpPr>
      <xdr:spPr>
        <a:xfrm>
          <a:off x="539114" y="407670"/>
          <a:ext cx="329565" cy="224789"/>
        </a:xfrm>
        <a:custGeom>
          <a:avLst/>
          <a:gdLst/>
          <a:ahLst/>
          <a:cxnLst/>
          <a:rect l="0" t="0" r="0" b="0"/>
          <a:pathLst>
            <a:path w="466725" h="242570">
              <a:moveTo>
                <a:pt x="466115" y="242023"/>
              </a:moveTo>
              <a:lnTo>
                <a:pt x="0" y="0"/>
              </a:lnTo>
            </a:path>
          </a:pathLst>
        </a:custGeom>
        <a:ln w="6349">
          <a:solidFill>
            <a:srgbClr val="A7A9AC"/>
          </a:solidFill>
        </a:ln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2463958</xdr:colOff>
      <xdr:row>0</xdr:row>
      <xdr:rowOff>0</xdr:rowOff>
    </xdr:from>
    <xdr:ext cx="0" cy="18415"/>
    <xdr:sp macro="" textlink="">
      <xdr:nvSpPr>
        <xdr:cNvPr id="1350" name="Shape 1350">
          <a:extLst>
            <a:ext uri="{FF2B5EF4-FFF2-40B4-BE49-F238E27FC236}">
              <a16:creationId xmlns:a16="http://schemas.microsoft.com/office/drawing/2014/main" id="{00000000-0008-0000-0B00-000046050000}"/>
            </a:ext>
          </a:extLst>
        </xdr:cNvPr>
        <xdr:cNvSpPr/>
      </xdr:nvSpPr>
      <xdr:spPr>
        <a:xfrm>
          <a:off x="0" y="0"/>
          <a:ext cx="0" cy="18415"/>
        </a:xfrm>
        <a:custGeom>
          <a:avLst/>
          <a:gdLst/>
          <a:ahLst/>
          <a:cxnLst/>
          <a:rect l="0" t="0" r="0" b="0"/>
          <a:pathLst>
            <a:path h="18415">
              <a:moveTo>
                <a:pt x="0" y="0"/>
              </a:moveTo>
              <a:lnTo>
                <a:pt x="0" y="17856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2463958</xdr:colOff>
      <xdr:row>0</xdr:row>
      <xdr:rowOff>0</xdr:rowOff>
    </xdr:from>
    <xdr:ext cx="0" cy="18415"/>
    <xdr:sp macro="" textlink="">
      <xdr:nvSpPr>
        <xdr:cNvPr id="1352" name="Shape 1352">
          <a:extLst>
            <a:ext uri="{FF2B5EF4-FFF2-40B4-BE49-F238E27FC236}">
              <a16:creationId xmlns:a16="http://schemas.microsoft.com/office/drawing/2014/main" id="{00000000-0008-0000-0B00-000048050000}"/>
            </a:ext>
          </a:extLst>
        </xdr:cNvPr>
        <xdr:cNvSpPr/>
      </xdr:nvSpPr>
      <xdr:spPr>
        <a:xfrm>
          <a:off x="0" y="0"/>
          <a:ext cx="0" cy="18415"/>
        </a:xfrm>
        <a:custGeom>
          <a:avLst/>
          <a:gdLst/>
          <a:ahLst/>
          <a:cxnLst/>
          <a:rect l="0" t="0" r="0" b="0"/>
          <a:pathLst>
            <a:path h="18415">
              <a:moveTo>
                <a:pt x="0" y="1785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43814</xdr:colOff>
      <xdr:row>1</xdr:row>
      <xdr:rowOff>26670</xdr:rowOff>
    </xdr:from>
    <xdr:ext cx="329565" cy="224789"/>
    <xdr:sp macro="" textlink="">
      <xdr:nvSpPr>
        <xdr:cNvPr id="452" name="Shape 1355">
          <a:extLst>
            <a:ext uri="{FF2B5EF4-FFF2-40B4-BE49-F238E27FC236}">
              <a16:creationId xmlns:a16="http://schemas.microsoft.com/office/drawing/2014/main" id="{912CA1CE-ABBA-496B-9CDD-CE7D7FBEADFB}"/>
            </a:ext>
          </a:extLst>
        </xdr:cNvPr>
        <xdr:cNvSpPr/>
      </xdr:nvSpPr>
      <xdr:spPr>
        <a:xfrm>
          <a:off x="539114" y="407670"/>
          <a:ext cx="329565" cy="224789"/>
        </a:xfrm>
        <a:custGeom>
          <a:avLst/>
          <a:gdLst/>
          <a:ahLst/>
          <a:cxnLst/>
          <a:rect l="0" t="0" r="0" b="0"/>
          <a:pathLst>
            <a:path w="466725" h="242570">
              <a:moveTo>
                <a:pt x="466115" y="242023"/>
              </a:moveTo>
              <a:lnTo>
                <a:pt x="0" y="0"/>
              </a:lnTo>
            </a:path>
          </a:pathLst>
        </a:custGeom>
        <a:ln w="6349">
          <a:solidFill>
            <a:srgbClr val="A7A9AC"/>
          </a:solidFill>
        </a:ln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</xdr:colOff>
      <xdr:row>0</xdr:row>
      <xdr:rowOff>1396</xdr:rowOff>
    </xdr:from>
    <xdr:ext cx="1711794" cy="1080004"/>
    <xdr:pic>
      <xdr:nvPicPr>
        <xdr:cNvPr id="2" name="image29.png">
          <a:extLst>
            <a:ext uri="{FF2B5EF4-FFF2-40B4-BE49-F238E27FC236}">
              <a16:creationId xmlns:a16="http://schemas.microsoft.com/office/drawing/2014/main" id="{8F98BB8B-0F8A-4C26-B420-4F1C271E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1396"/>
          <a:ext cx="1711794" cy="1080004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30429</xdr:colOff>
      <xdr:row>24</xdr:row>
      <xdr:rowOff>0</xdr:rowOff>
    </xdr:from>
    <xdr:ext cx="2016125" cy="1116330"/>
    <xdr:sp macro="" textlink="">
      <xdr:nvSpPr>
        <xdr:cNvPr id="2" name="Textbox 1773">
          <a:extLst>
            <a:ext uri="{FF2B5EF4-FFF2-40B4-BE49-F238E27FC236}">
              <a16:creationId xmlns:a16="http://schemas.microsoft.com/office/drawing/2014/main" id="{2CA25B4B-CC13-47CC-A69E-CB48974E29B0}"/>
            </a:ext>
          </a:extLst>
        </xdr:cNvPr>
        <xdr:cNvSpPr txBox="1"/>
      </xdr:nvSpPr>
      <xdr:spPr>
        <a:xfrm>
          <a:off x="5164404" y="7096125"/>
          <a:ext cx="2016125" cy="1116330"/>
        </a:xfrm>
        <a:prstGeom prst="rect">
          <a:avLst/>
        </a:prstGeom>
      </xdr:spPr>
      <xdr:txBody>
        <a:bodyPr vertOverflow="clip" lIns="0" tIns="0" rIns="0" bIns="0" anchor="t"/>
        <a:lstStyle/>
        <a:p>
          <a:endParaRPr/>
        </a:p>
        <a:p>
          <a:r>
            <a:rPr sz="800" b="0" spc="-10">
              <a:solidFill>
                <a:srgbClr val="FFFFFF"/>
              </a:solidFill>
              <a:latin typeface="Titillium Web"/>
              <a:cs typeface="Titillium Web"/>
            </a:rPr>
            <a:t>R</a:t>
          </a:r>
          <a:r>
            <a:rPr sz="800" b="0" spc="-20">
              <a:solidFill>
                <a:srgbClr val="FFFFFF"/>
              </a:solidFill>
              <a:latin typeface="Titillium Web"/>
              <a:cs typeface="Titillium Web"/>
            </a:rPr>
            <a:t>S</a:t>
          </a:r>
          <a:r>
            <a:rPr sz="800" b="0" spc="0">
              <a:solidFill>
                <a:srgbClr val="FFFFFF"/>
              </a:solidFill>
              <a:latin typeface="Titillium Web"/>
              <a:cs typeface="Titillium Web"/>
            </a:rPr>
            <a:t>A</a:t>
          </a:r>
          <a:r>
            <a:rPr sz="800" b="0" spc="-20">
              <a:solidFill>
                <a:srgbClr val="FFFFFF"/>
              </a:solidFill>
              <a:latin typeface="Titillium Web"/>
              <a:cs typeface="Titillium Web"/>
            </a:rPr>
            <a:t> </a:t>
          </a:r>
          <a:r>
            <a:rPr sz="800" b="0" spc="-10">
              <a:solidFill>
                <a:srgbClr val="FFFFFF"/>
              </a:solidFill>
              <a:latin typeface="Titillium Web"/>
              <a:cs typeface="Titillium Web"/>
            </a:rPr>
            <a:t>Industri</a:t>
          </a:r>
          <a:r>
            <a:rPr sz="800" b="0" spc="-15">
              <a:solidFill>
                <a:srgbClr val="FFFFFF"/>
              </a:solidFill>
              <a:latin typeface="Titillium Web"/>
              <a:cs typeface="Titillium Web"/>
            </a:rPr>
            <a:t>e</a:t>
          </a:r>
          <a:r>
            <a:rPr sz="800" b="0" spc="-20">
              <a:solidFill>
                <a:srgbClr val="FFFFFF"/>
              </a:solidFill>
              <a:latin typeface="Titillium Web"/>
              <a:cs typeface="Titillium Web"/>
            </a:rPr>
            <a:t>v</a:t>
          </a:r>
          <a:r>
            <a:rPr sz="800" b="0" spc="-10">
              <a:solidFill>
                <a:srgbClr val="FFFFFF"/>
              </a:solidFill>
              <a:latin typeface="Titillium Web"/>
              <a:cs typeface="Titillium Web"/>
            </a:rPr>
            <a:t>e</a:t>
          </a:r>
          <a:r>
            <a:rPr sz="800" b="0" spc="-20">
              <a:solidFill>
                <a:srgbClr val="FFFFFF"/>
              </a:solidFill>
              <a:latin typeface="Titillium Web"/>
              <a:cs typeface="Titillium Web"/>
            </a:rPr>
            <a:t>r</a:t>
          </a:r>
          <a:r>
            <a:rPr sz="800" b="0" spc="-10">
              <a:solidFill>
                <a:srgbClr val="FFFFFF"/>
              </a:solidFill>
              <a:latin typeface="Titillium Web"/>
              <a:cs typeface="Titillium Web"/>
            </a:rPr>
            <a:t>niging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95643</xdr:colOff>
      <xdr:row>23</xdr:row>
      <xdr:rowOff>0</xdr:rowOff>
    </xdr:from>
    <xdr:ext cx="34925" cy="18415"/>
    <xdr:grpSp>
      <xdr:nvGrpSpPr>
        <xdr:cNvPr id="2" name="Group 3547">
          <a:extLst>
            <a:ext uri="{FF2B5EF4-FFF2-40B4-BE49-F238E27FC236}">
              <a16:creationId xmlns:a16="http://schemas.microsoft.com/office/drawing/2014/main" id="{AAEAD2CB-8C68-4F0E-9E24-601DA3025881}"/>
            </a:ext>
          </a:extLst>
        </xdr:cNvPr>
        <xdr:cNvGrpSpPr/>
      </xdr:nvGrpSpPr>
      <xdr:grpSpPr>
        <a:xfrm>
          <a:off x="829068" y="6124575"/>
          <a:ext cx="34925" cy="18415"/>
          <a:chOff x="0" y="0"/>
          <a:chExt cx="34925" cy="18415"/>
        </a:xfrm>
      </xdr:grpSpPr>
      <xdr:sp macro="" textlink="">
        <xdr:nvSpPr>
          <xdr:cNvPr id="3" name="Shape 3548">
            <a:extLst>
              <a:ext uri="{FF2B5EF4-FFF2-40B4-BE49-F238E27FC236}">
                <a16:creationId xmlns:a16="http://schemas.microsoft.com/office/drawing/2014/main" id="{11F0C6E6-D3B3-4772-A282-B6B0D2CB8731}"/>
              </a:ext>
            </a:extLst>
          </xdr:cNvPr>
          <xdr:cNvSpPr/>
        </xdr:nvSpPr>
        <xdr:spPr>
          <a:xfrm>
            <a:off x="438" y="7677"/>
            <a:ext cx="0" cy="10795"/>
          </a:xfrm>
          <a:custGeom>
            <a:avLst/>
            <a:gdLst/>
            <a:ahLst/>
            <a:cxnLst/>
            <a:rect l="0" t="0" r="0" b="0"/>
            <a:pathLst>
              <a:path h="10795">
                <a:moveTo>
                  <a:pt x="0" y="1055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" name="Shape 3549">
            <a:extLst>
              <a:ext uri="{FF2B5EF4-FFF2-40B4-BE49-F238E27FC236}">
                <a16:creationId xmlns:a16="http://schemas.microsoft.com/office/drawing/2014/main" id="{10CDBD95-BE03-44CE-A745-48BFAA80CD73}"/>
              </a:ext>
            </a:extLst>
          </xdr:cNvPr>
          <xdr:cNvSpPr/>
        </xdr:nvSpPr>
        <xdr:spPr>
          <a:xfrm>
            <a:off x="23821" y="7672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0" y="0"/>
                </a:moveTo>
                <a:lnTo>
                  <a:pt x="1056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3550">
            <a:extLst>
              <a:ext uri="{FF2B5EF4-FFF2-40B4-BE49-F238E27FC236}">
                <a16:creationId xmlns:a16="http://schemas.microsoft.com/office/drawing/2014/main" id="{8FC71356-2225-4E0B-AF69-B3D3CC4689FE}"/>
              </a:ext>
            </a:extLst>
          </xdr:cNvPr>
          <xdr:cNvSpPr/>
        </xdr:nvSpPr>
        <xdr:spPr>
          <a:xfrm>
            <a:off x="426" y="0"/>
            <a:ext cx="29209" cy="15875"/>
          </a:xfrm>
          <a:custGeom>
            <a:avLst/>
            <a:gdLst/>
            <a:ahLst/>
            <a:cxnLst/>
            <a:rect l="0" t="0" r="0" b="0"/>
            <a:pathLst>
              <a:path w="29209" h="15875">
                <a:moveTo>
                  <a:pt x="28625" y="0"/>
                </a:moveTo>
                <a:lnTo>
                  <a:pt x="0" y="7670"/>
                </a:lnTo>
                <a:lnTo>
                  <a:pt x="28625" y="15341"/>
                </a:lnTo>
                <a:lnTo>
                  <a:pt x="2862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7</xdr:col>
      <xdr:colOff>0</xdr:colOff>
      <xdr:row>23</xdr:row>
      <xdr:rowOff>0</xdr:rowOff>
    </xdr:from>
    <xdr:ext cx="34925" cy="18415"/>
    <xdr:grpSp>
      <xdr:nvGrpSpPr>
        <xdr:cNvPr id="6" name="Group 3554">
          <a:extLst>
            <a:ext uri="{FF2B5EF4-FFF2-40B4-BE49-F238E27FC236}">
              <a16:creationId xmlns:a16="http://schemas.microsoft.com/office/drawing/2014/main" id="{7FDD65D2-5640-4BD8-9F11-F7EFBC0E524A}"/>
            </a:ext>
          </a:extLst>
        </xdr:cNvPr>
        <xdr:cNvGrpSpPr/>
      </xdr:nvGrpSpPr>
      <xdr:grpSpPr>
        <a:xfrm>
          <a:off x="2933700" y="6124575"/>
          <a:ext cx="34925" cy="18415"/>
          <a:chOff x="0" y="0"/>
          <a:chExt cx="34925" cy="18415"/>
        </a:xfrm>
      </xdr:grpSpPr>
      <xdr:sp macro="" textlink="">
        <xdr:nvSpPr>
          <xdr:cNvPr id="7" name="Shape 3555">
            <a:extLst>
              <a:ext uri="{FF2B5EF4-FFF2-40B4-BE49-F238E27FC236}">
                <a16:creationId xmlns:a16="http://schemas.microsoft.com/office/drawing/2014/main" id="{F4C4B79C-BD97-4FE3-9683-6BBC2F16ED46}"/>
              </a:ext>
            </a:extLst>
          </xdr:cNvPr>
          <xdr:cNvSpPr/>
        </xdr:nvSpPr>
        <xdr:spPr>
          <a:xfrm>
            <a:off x="33943" y="7675"/>
            <a:ext cx="0" cy="10795"/>
          </a:xfrm>
          <a:custGeom>
            <a:avLst/>
            <a:gdLst/>
            <a:ahLst/>
            <a:cxnLst/>
            <a:rect l="0" t="0" r="0" b="0"/>
            <a:pathLst>
              <a:path h="10795">
                <a:moveTo>
                  <a:pt x="0" y="1055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" name="Shape 3556">
            <a:extLst>
              <a:ext uri="{FF2B5EF4-FFF2-40B4-BE49-F238E27FC236}">
                <a16:creationId xmlns:a16="http://schemas.microsoft.com/office/drawing/2014/main" id="{75FAF99F-0B66-425E-A5A0-F32AD6DA9A4E}"/>
              </a:ext>
            </a:extLst>
          </xdr:cNvPr>
          <xdr:cNvSpPr/>
        </xdr:nvSpPr>
        <xdr:spPr>
          <a:xfrm>
            <a:off x="0" y="7670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55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9" name="Shape 3557">
            <a:extLst>
              <a:ext uri="{FF2B5EF4-FFF2-40B4-BE49-F238E27FC236}">
                <a16:creationId xmlns:a16="http://schemas.microsoft.com/office/drawing/2014/main" id="{13E30A4C-E62A-453E-A1AD-DA15A04C503C}"/>
              </a:ext>
            </a:extLst>
          </xdr:cNvPr>
          <xdr:cNvSpPr/>
        </xdr:nvSpPr>
        <xdr:spPr>
          <a:xfrm>
            <a:off x="5322" y="0"/>
            <a:ext cx="29209" cy="15875"/>
          </a:xfrm>
          <a:custGeom>
            <a:avLst/>
            <a:gdLst/>
            <a:ahLst/>
            <a:cxnLst/>
            <a:rect l="0" t="0" r="0" b="0"/>
            <a:pathLst>
              <a:path w="29209" h="15875">
                <a:moveTo>
                  <a:pt x="0" y="0"/>
                </a:moveTo>
                <a:lnTo>
                  <a:pt x="0" y="15341"/>
                </a:lnTo>
                <a:lnTo>
                  <a:pt x="28625" y="767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95643</xdr:colOff>
      <xdr:row>20</xdr:row>
      <xdr:rowOff>0</xdr:rowOff>
    </xdr:from>
    <xdr:ext cx="34925" cy="18415"/>
    <xdr:grpSp>
      <xdr:nvGrpSpPr>
        <xdr:cNvPr id="2" name="Group 3547">
          <a:extLst>
            <a:ext uri="{FF2B5EF4-FFF2-40B4-BE49-F238E27FC236}">
              <a16:creationId xmlns:a16="http://schemas.microsoft.com/office/drawing/2014/main" id="{643E029E-05C5-4871-BFBB-F731D0C1CE16}"/>
            </a:ext>
          </a:extLst>
        </xdr:cNvPr>
        <xdr:cNvGrpSpPr/>
      </xdr:nvGrpSpPr>
      <xdr:grpSpPr>
        <a:xfrm>
          <a:off x="829068" y="4933950"/>
          <a:ext cx="34925" cy="18415"/>
          <a:chOff x="0" y="0"/>
          <a:chExt cx="34925" cy="18415"/>
        </a:xfrm>
      </xdr:grpSpPr>
      <xdr:sp macro="" textlink="">
        <xdr:nvSpPr>
          <xdr:cNvPr id="3" name="Shape 3548">
            <a:extLst>
              <a:ext uri="{FF2B5EF4-FFF2-40B4-BE49-F238E27FC236}">
                <a16:creationId xmlns:a16="http://schemas.microsoft.com/office/drawing/2014/main" id="{2D38DEE6-9566-2367-F760-80581AEAB8C5}"/>
              </a:ext>
            </a:extLst>
          </xdr:cNvPr>
          <xdr:cNvSpPr/>
        </xdr:nvSpPr>
        <xdr:spPr>
          <a:xfrm>
            <a:off x="438" y="7677"/>
            <a:ext cx="0" cy="10795"/>
          </a:xfrm>
          <a:custGeom>
            <a:avLst/>
            <a:gdLst/>
            <a:ahLst/>
            <a:cxnLst/>
            <a:rect l="0" t="0" r="0" b="0"/>
            <a:pathLst>
              <a:path h="10795">
                <a:moveTo>
                  <a:pt x="0" y="1055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" name="Shape 3549">
            <a:extLst>
              <a:ext uri="{FF2B5EF4-FFF2-40B4-BE49-F238E27FC236}">
                <a16:creationId xmlns:a16="http://schemas.microsoft.com/office/drawing/2014/main" id="{32DA3EA1-457C-0E97-B7E7-DC549306CB5B}"/>
              </a:ext>
            </a:extLst>
          </xdr:cNvPr>
          <xdr:cNvSpPr/>
        </xdr:nvSpPr>
        <xdr:spPr>
          <a:xfrm>
            <a:off x="23821" y="7672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0" y="0"/>
                </a:moveTo>
                <a:lnTo>
                  <a:pt x="1056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3550">
            <a:extLst>
              <a:ext uri="{FF2B5EF4-FFF2-40B4-BE49-F238E27FC236}">
                <a16:creationId xmlns:a16="http://schemas.microsoft.com/office/drawing/2014/main" id="{A7C565EA-F3E7-47D0-33DB-8600ABE9FF4D}"/>
              </a:ext>
            </a:extLst>
          </xdr:cNvPr>
          <xdr:cNvSpPr/>
        </xdr:nvSpPr>
        <xdr:spPr>
          <a:xfrm>
            <a:off x="426" y="0"/>
            <a:ext cx="29209" cy="15875"/>
          </a:xfrm>
          <a:custGeom>
            <a:avLst/>
            <a:gdLst/>
            <a:ahLst/>
            <a:cxnLst/>
            <a:rect l="0" t="0" r="0" b="0"/>
            <a:pathLst>
              <a:path w="29209" h="15875">
                <a:moveTo>
                  <a:pt x="28625" y="0"/>
                </a:moveTo>
                <a:lnTo>
                  <a:pt x="0" y="7670"/>
                </a:lnTo>
                <a:lnTo>
                  <a:pt x="28625" y="15341"/>
                </a:lnTo>
                <a:lnTo>
                  <a:pt x="2862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7</xdr:col>
      <xdr:colOff>0</xdr:colOff>
      <xdr:row>20</xdr:row>
      <xdr:rowOff>0</xdr:rowOff>
    </xdr:from>
    <xdr:ext cx="34925" cy="18415"/>
    <xdr:grpSp>
      <xdr:nvGrpSpPr>
        <xdr:cNvPr id="6" name="Group 3554">
          <a:extLst>
            <a:ext uri="{FF2B5EF4-FFF2-40B4-BE49-F238E27FC236}">
              <a16:creationId xmlns:a16="http://schemas.microsoft.com/office/drawing/2014/main" id="{7CF71A14-1FEB-44F0-85E3-3250E3520FE0}"/>
            </a:ext>
          </a:extLst>
        </xdr:cNvPr>
        <xdr:cNvGrpSpPr/>
      </xdr:nvGrpSpPr>
      <xdr:grpSpPr>
        <a:xfrm>
          <a:off x="2981325" y="4933950"/>
          <a:ext cx="34925" cy="18415"/>
          <a:chOff x="0" y="0"/>
          <a:chExt cx="34925" cy="18415"/>
        </a:xfrm>
      </xdr:grpSpPr>
      <xdr:sp macro="" textlink="">
        <xdr:nvSpPr>
          <xdr:cNvPr id="7" name="Shape 3555">
            <a:extLst>
              <a:ext uri="{FF2B5EF4-FFF2-40B4-BE49-F238E27FC236}">
                <a16:creationId xmlns:a16="http://schemas.microsoft.com/office/drawing/2014/main" id="{F010116A-3147-1611-CCB4-1D6D95F2D4DE}"/>
              </a:ext>
            </a:extLst>
          </xdr:cNvPr>
          <xdr:cNvSpPr/>
        </xdr:nvSpPr>
        <xdr:spPr>
          <a:xfrm>
            <a:off x="33943" y="7675"/>
            <a:ext cx="0" cy="10795"/>
          </a:xfrm>
          <a:custGeom>
            <a:avLst/>
            <a:gdLst/>
            <a:ahLst/>
            <a:cxnLst/>
            <a:rect l="0" t="0" r="0" b="0"/>
            <a:pathLst>
              <a:path h="10795">
                <a:moveTo>
                  <a:pt x="0" y="1055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" name="Shape 3556">
            <a:extLst>
              <a:ext uri="{FF2B5EF4-FFF2-40B4-BE49-F238E27FC236}">
                <a16:creationId xmlns:a16="http://schemas.microsoft.com/office/drawing/2014/main" id="{1EF24F0E-CF5C-902C-E1BD-21A4694ED069}"/>
              </a:ext>
            </a:extLst>
          </xdr:cNvPr>
          <xdr:cNvSpPr/>
        </xdr:nvSpPr>
        <xdr:spPr>
          <a:xfrm>
            <a:off x="0" y="7670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55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9" name="Shape 3557">
            <a:extLst>
              <a:ext uri="{FF2B5EF4-FFF2-40B4-BE49-F238E27FC236}">
                <a16:creationId xmlns:a16="http://schemas.microsoft.com/office/drawing/2014/main" id="{8628C3C8-12B1-A23A-13D8-8CA0866FFEF1}"/>
              </a:ext>
            </a:extLst>
          </xdr:cNvPr>
          <xdr:cNvSpPr/>
        </xdr:nvSpPr>
        <xdr:spPr>
          <a:xfrm>
            <a:off x="5322" y="0"/>
            <a:ext cx="29209" cy="15875"/>
          </a:xfrm>
          <a:custGeom>
            <a:avLst/>
            <a:gdLst/>
            <a:ahLst/>
            <a:cxnLst/>
            <a:rect l="0" t="0" r="0" b="0"/>
            <a:pathLst>
              <a:path w="29209" h="15875">
                <a:moveTo>
                  <a:pt x="0" y="0"/>
                </a:moveTo>
                <a:lnTo>
                  <a:pt x="0" y="15341"/>
                </a:lnTo>
                <a:lnTo>
                  <a:pt x="28625" y="767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14</xdr:row>
      <xdr:rowOff>139870</xdr:rowOff>
    </xdr:from>
    <xdr:to>
      <xdr:col>3</xdr:col>
      <xdr:colOff>647701</xdr:colOff>
      <xdr:row>32</xdr:row>
      <xdr:rowOff>48067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50E446E5-85F6-5636-B5EF-8D2A3DFAA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0" b="89790" l="7335" r="89976">
                      <a14:foregroundMark x1="28851" y1="58859" x2="28851" y2="58859"/>
                      <a14:foregroundMark x1="20782" y1="58559" x2="62347" y2="54054"/>
                      <a14:foregroundMark x1="62347" y1="54054" x2="70416" y2="46246"/>
                      <a14:foregroundMark x1="79218" y1="43243" x2="64548" y2="51652"/>
                      <a14:foregroundMark x1="64548" y1="51652" x2="75550" y2="46547"/>
                      <a14:foregroundMark x1="79707" y1="41742" x2="84841" y2="50150"/>
                      <a14:foregroundMark x1="7335" y1="61261" x2="7335" y2="61261"/>
                      <a14:foregroundMark x1="28851" y1="65766" x2="28851" y2="657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95276" y="3826045"/>
          <a:ext cx="3467100" cy="28228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1</xdr:row>
      <xdr:rowOff>15239</xdr:rowOff>
    </xdr:from>
    <xdr:ext cx="646699" cy="223399"/>
    <xdr:sp macro="" textlink="">
      <xdr:nvSpPr>
        <xdr:cNvPr id="2" name="Shape 3707">
          <a:extLst>
            <a:ext uri="{FF2B5EF4-FFF2-40B4-BE49-F238E27FC236}">
              <a16:creationId xmlns:a16="http://schemas.microsoft.com/office/drawing/2014/main" id="{54EF9A06-348F-47F1-9E7D-934FBC694BAC}"/>
            </a:ext>
          </a:extLst>
        </xdr:cNvPr>
        <xdr:cNvSpPr/>
      </xdr:nvSpPr>
      <xdr:spPr>
        <a:xfrm>
          <a:off x="167640" y="967739"/>
          <a:ext cx="646699" cy="223399"/>
        </a:xfrm>
        <a:custGeom>
          <a:avLst/>
          <a:gdLst/>
          <a:ahLst/>
          <a:cxnLst/>
          <a:rect l="0" t="0" r="0" b="0"/>
          <a:pathLst>
            <a:path w="582295" h="229870">
              <a:moveTo>
                <a:pt x="581723" y="229641"/>
              </a:moveTo>
              <a:lnTo>
                <a:pt x="0" y="0"/>
              </a:lnTo>
            </a:path>
          </a:pathLst>
        </a:custGeom>
        <a:ln w="6350">
          <a:solidFill>
            <a:srgbClr val="A7A9AC"/>
          </a:solidFill>
        </a:ln>
      </xdr:spPr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266813</xdr:colOff>
      <xdr:row>0</xdr:row>
      <xdr:rowOff>672005</xdr:rowOff>
    </xdr:from>
    <xdr:ext cx="474345" cy="237490"/>
    <xdr:grpSp>
      <xdr:nvGrpSpPr>
        <xdr:cNvPr id="2" name="Group 3709">
          <a:extLst>
            <a:ext uri="{FF2B5EF4-FFF2-40B4-BE49-F238E27FC236}">
              <a16:creationId xmlns:a16="http://schemas.microsoft.com/office/drawing/2014/main" id="{C8F4FE88-6351-4434-9BBD-24B9848E1DBD}"/>
            </a:ext>
          </a:extLst>
        </xdr:cNvPr>
        <xdr:cNvGrpSpPr/>
      </xdr:nvGrpSpPr>
      <xdr:grpSpPr>
        <a:xfrm>
          <a:off x="266813" y="672005"/>
          <a:ext cx="474345" cy="237490"/>
          <a:chOff x="0" y="0"/>
          <a:chExt cx="474345" cy="237490"/>
        </a:xfrm>
      </xdr:grpSpPr>
      <xdr:sp macro="" textlink="">
        <xdr:nvSpPr>
          <xdr:cNvPr id="3" name="Shape 3710">
            <a:extLst>
              <a:ext uri="{FF2B5EF4-FFF2-40B4-BE49-F238E27FC236}">
                <a16:creationId xmlns:a16="http://schemas.microsoft.com/office/drawing/2014/main" id="{88430D5F-0FF9-48B0-9791-154AF11B97BC}"/>
              </a:ext>
            </a:extLst>
          </xdr:cNvPr>
          <xdr:cNvSpPr/>
        </xdr:nvSpPr>
        <xdr:spPr>
          <a:xfrm>
            <a:off x="10435" y="15445"/>
            <a:ext cx="378460" cy="207010"/>
          </a:xfrm>
          <a:custGeom>
            <a:avLst/>
            <a:gdLst/>
            <a:ahLst/>
            <a:cxnLst/>
            <a:rect l="0" t="0" r="0" b="0"/>
            <a:pathLst>
              <a:path w="378460" h="207010">
                <a:moveTo>
                  <a:pt x="377939" y="0"/>
                </a:moveTo>
                <a:lnTo>
                  <a:pt x="0" y="0"/>
                </a:lnTo>
                <a:lnTo>
                  <a:pt x="0" y="206997"/>
                </a:lnTo>
                <a:lnTo>
                  <a:pt x="377939" y="206997"/>
                </a:lnTo>
                <a:lnTo>
                  <a:pt x="377939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4" name="Shape 3711">
            <a:extLst>
              <a:ext uri="{FF2B5EF4-FFF2-40B4-BE49-F238E27FC236}">
                <a16:creationId xmlns:a16="http://schemas.microsoft.com/office/drawing/2014/main" id="{B783BF36-ECBF-4035-A19A-F88676FF9598}"/>
              </a:ext>
            </a:extLst>
          </xdr:cNvPr>
          <xdr:cNvSpPr/>
        </xdr:nvSpPr>
        <xdr:spPr>
          <a:xfrm>
            <a:off x="3175" y="3175"/>
            <a:ext cx="467995" cy="231140"/>
          </a:xfrm>
          <a:custGeom>
            <a:avLst/>
            <a:gdLst/>
            <a:ahLst/>
            <a:cxnLst/>
            <a:rect l="0" t="0" r="0" b="0"/>
            <a:pathLst>
              <a:path w="467995" h="231140">
                <a:moveTo>
                  <a:pt x="467994" y="230657"/>
                </a:moveTo>
                <a:lnTo>
                  <a:pt x="0" y="0"/>
                </a:lnTo>
              </a:path>
            </a:pathLst>
          </a:custGeom>
          <a:ln w="6349">
            <a:solidFill>
              <a:srgbClr val="A7A9AC"/>
            </a:solidFill>
          </a:ln>
        </xdr:spPr>
      </xdr:sp>
    </xdr:grp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</xdr:rowOff>
    </xdr:from>
    <xdr:ext cx="407670" cy="213359"/>
    <xdr:sp macro="" textlink="">
      <xdr:nvSpPr>
        <xdr:cNvPr id="2" name="Shape 898">
          <a:extLst>
            <a:ext uri="{FF2B5EF4-FFF2-40B4-BE49-F238E27FC236}">
              <a16:creationId xmlns:a16="http://schemas.microsoft.com/office/drawing/2014/main" id="{311FEA2A-727B-4892-9C9D-608CB4B9E6B4}"/>
            </a:ext>
          </a:extLst>
        </xdr:cNvPr>
        <xdr:cNvSpPr/>
      </xdr:nvSpPr>
      <xdr:spPr>
        <a:xfrm>
          <a:off x="438150" y="781051"/>
          <a:ext cx="407670" cy="213359"/>
        </a:xfrm>
        <a:custGeom>
          <a:avLst/>
          <a:gdLst/>
          <a:ahLst/>
          <a:cxnLst/>
          <a:rect l="0" t="0" r="0" b="0"/>
          <a:pathLst>
            <a:path w="431165" h="241300">
              <a:moveTo>
                <a:pt x="430555" y="240995"/>
              </a:moveTo>
              <a:lnTo>
                <a:pt x="0" y="0"/>
              </a:lnTo>
            </a:path>
          </a:pathLst>
        </a:custGeom>
        <a:ln w="6349">
          <a:solidFill>
            <a:srgbClr val="A7A9AC"/>
          </a:solidFill>
        </a:ln>
      </xdr:spPr>
    </xdr:sp>
    <xdr:clientData/>
  </xdr:oneCellAnchor>
  <xdr:oneCellAnchor>
    <xdr:from>
      <xdr:col>13</xdr:col>
      <xdr:colOff>19050</xdr:colOff>
      <xdr:row>1</xdr:row>
      <xdr:rowOff>1</xdr:rowOff>
    </xdr:from>
    <xdr:ext cx="407670" cy="213359"/>
    <xdr:sp macro="" textlink="">
      <xdr:nvSpPr>
        <xdr:cNvPr id="3" name="Shape 898">
          <a:extLst>
            <a:ext uri="{FF2B5EF4-FFF2-40B4-BE49-F238E27FC236}">
              <a16:creationId xmlns:a16="http://schemas.microsoft.com/office/drawing/2014/main" id="{33150E27-8231-4CFF-9DD3-377FD7FC18ED}"/>
            </a:ext>
          </a:extLst>
        </xdr:cNvPr>
        <xdr:cNvSpPr/>
      </xdr:nvSpPr>
      <xdr:spPr>
        <a:xfrm>
          <a:off x="438150" y="781051"/>
          <a:ext cx="407670" cy="213359"/>
        </a:xfrm>
        <a:custGeom>
          <a:avLst/>
          <a:gdLst/>
          <a:ahLst/>
          <a:cxnLst/>
          <a:rect l="0" t="0" r="0" b="0"/>
          <a:pathLst>
            <a:path w="431165" h="241300">
              <a:moveTo>
                <a:pt x="430555" y="240995"/>
              </a:moveTo>
              <a:lnTo>
                <a:pt x="0" y="0"/>
              </a:lnTo>
            </a:path>
          </a:pathLst>
        </a:custGeom>
        <a:ln w="6349">
          <a:solidFill>
            <a:srgbClr val="A7A9AC"/>
          </a:solidFill>
        </a:ln>
      </xdr:spPr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</xdr:rowOff>
    </xdr:from>
    <xdr:ext cx="407670" cy="213359"/>
    <xdr:sp macro="" textlink="">
      <xdr:nvSpPr>
        <xdr:cNvPr id="4" name="Shape 898">
          <a:extLst>
            <a:ext uri="{FF2B5EF4-FFF2-40B4-BE49-F238E27FC236}">
              <a16:creationId xmlns:a16="http://schemas.microsoft.com/office/drawing/2014/main" id="{007437B7-E9C3-408E-A99B-92E2E6F4AD6F}"/>
            </a:ext>
          </a:extLst>
        </xdr:cNvPr>
        <xdr:cNvSpPr/>
      </xdr:nvSpPr>
      <xdr:spPr>
        <a:xfrm>
          <a:off x="438150" y="781051"/>
          <a:ext cx="407670" cy="213359"/>
        </a:xfrm>
        <a:custGeom>
          <a:avLst/>
          <a:gdLst/>
          <a:ahLst/>
          <a:cxnLst/>
          <a:rect l="0" t="0" r="0" b="0"/>
          <a:pathLst>
            <a:path w="431165" h="241300">
              <a:moveTo>
                <a:pt x="430555" y="240995"/>
              </a:moveTo>
              <a:lnTo>
                <a:pt x="0" y="0"/>
              </a:lnTo>
            </a:path>
          </a:pathLst>
        </a:custGeom>
        <a:ln w="6349">
          <a:solidFill>
            <a:srgbClr val="A7A9AC"/>
          </a:solidFill>
        </a:ln>
      </xdr:spPr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</xdr:rowOff>
    </xdr:from>
    <xdr:ext cx="407670" cy="213359"/>
    <xdr:sp macro="" textlink="">
      <xdr:nvSpPr>
        <xdr:cNvPr id="2" name="Shape 898">
          <a:extLst>
            <a:ext uri="{FF2B5EF4-FFF2-40B4-BE49-F238E27FC236}">
              <a16:creationId xmlns:a16="http://schemas.microsoft.com/office/drawing/2014/main" id="{0BAC7C81-3234-4FB4-ACEE-F5861BD02FB8}"/>
            </a:ext>
          </a:extLst>
        </xdr:cNvPr>
        <xdr:cNvSpPr/>
      </xdr:nvSpPr>
      <xdr:spPr>
        <a:xfrm>
          <a:off x="857250" y="781051"/>
          <a:ext cx="407670" cy="213359"/>
        </a:xfrm>
        <a:custGeom>
          <a:avLst/>
          <a:gdLst/>
          <a:ahLst/>
          <a:cxnLst/>
          <a:rect l="0" t="0" r="0" b="0"/>
          <a:pathLst>
            <a:path w="431165" h="241300">
              <a:moveTo>
                <a:pt x="430555" y="240995"/>
              </a:moveTo>
              <a:lnTo>
                <a:pt x="0" y="0"/>
              </a:lnTo>
            </a:path>
          </a:pathLst>
        </a:custGeom>
        <a:ln w="6349">
          <a:solidFill>
            <a:srgbClr val="A7A9AC"/>
          </a:solidFill>
        </a:ln>
      </xdr:spPr>
    </xdr:sp>
    <xdr:clientData/>
  </xdr:oneCellAnchor>
  <xdr:oneCellAnchor>
    <xdr:from>
      <xdr:col>18</xdr:col>
      <xdr:colOff>19050</xdr:colOff>
      <xdr:row>1</xdr:row>
      <xdr:rowOff>1</xdr:rowOff>
    </xdr:from>
    <xdr:ext cx="407670" cy="213359"/>
    <xdr:sp macro="" textlink="">
      <xdr:nvSpPr>
        <xdr:cNvPr id="3" name="Shape 898">
          <a:extLst>
            <a:ext uri="{FF2B5EF4-FFF2-40B4-BE49-F238E27FC236}">
              <a16:creationId xmlns:a16="http://schemas.microsoft.com/office/drawing/2014/main" id="{DFD65E55-BFE9-4826-A557-A78293334B13}"/>
            </a:ext>
          </a:extLst>
        </xdr:cNvPr>
        <xdr:cNvSpPr/>
      </xdr:nvSpPr>
      <xdr:spPr>
        <a:xfrm>
          <a:off x="857250" y="781051"/>
          <a:ext cx="407670" cy="213359"/>
        </a:xfrm>
        <a:custGeom>
          <a:avLst/>
          <a:gdLst/>
          <a:ahLst/>
          <a:cxnLst/>
          <a:rect l="0" t="0" r="0" b="0"/>
          <a:pathLst>
            <a:path w="431165" h="241300">
              <a:moveTo>
                <a:pt x="430555" y="240995"/>
              </a:moveTo>
              <a:lnTo>
                <a:pt x="0" y="0"/>
              </a:lnTo>
            </a:path>
          </a:pathLst>
        </a:custGeom>
        <a:ln w="6349">
          <a:solidFill>
            <a:srgbClr val="A7A9AC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40DE-D422-4846-B19B-39F7F5F94A03}">
  <sheetPr codeName="Blad1">
    <tabColor rgb="FFFFFF00"/>
  </sheetPr>
  <dimension ref="A1:R3"/>
  <sheetViews>
    <sheetView tabSelected="1" workbookViewId="0">
      <selection activeCell="B2" sqref="B2"/>
    </sheetView>
  </sheetViews>
  <sheetFormatPr defaultRowHeight="12.75"/>
  <cols>
    <col min="1" max="1" width="43.5" bestFit="1" customWidth="1"/>
    <col min="2" max="2" width="13.6640625" customWidth="1"/>
  </cols>
  <sheetData>
    <row r="1" spans="1:18" ht="24" thickBot="1">
      <c r="A1" s="224" t="s">
        <v>271</v>
      </c>
      <c r="B1" s="221"/>
    </row>
    <row r="2" spans="1:18" ht="24" thickBot="1">
      <c r="A2" s="223" t="s">
        <v>514</v>
      </c>
      <c r="B2" s="328">
        <v>0</v>
      </c>
      <c r="D2" s="525" t="s">
        <v>421</v>
      </c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7"/>
    </row>
    <row r="3" spans="1:18" ht="24" thickBot="1">
      <c r="A3" s="222" t="s">
        <v>270</v>
      </c>
      <c r="B3" s="326">
        <v>0.21</v>
      </c>
      <c r="D3" s="528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30"/>
    </row>
  </sheetData>
  <sheetProtection algorithmName="SHA-512" hashValue="xG9b8yJAem3YYZWrPDnmni/xOMcptBj3f6WI7NtPaUc7BRjcHxipshj+Y+2JgD+xG2IoVWRiS4QYlApMZ/fouw==" saltValue="hS5BTne2BuHNX7bAmhNhGQ==" spinCount="100000" sheet="1" objects="1" scenarios="1"/>
  <mergeCells count="2">
    <mergeCell ref="D2:R2"/>
    <mergeCell ref="D3:R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Blad3">
    <tabColor rgb="FF92D050"/>
    <pageSetUpPr fitToPage="1"/>
  </sheetPr>
  <dimension ref="A1:O32"/>
  <sheetViews>
    <sheetView workbookViewId="0">
      <selection sqref="A1:L1"/>
    </sheetView>
  </sheetViews>
  <sheetFormatPr defaultRowHeight="12.75"/>
  <cols>
    <col min="1" max="1" width="4.1640625" customWidth="1"/>
    <col min="2" max="2" width="9.83203125" customWidth="1"/>
    <col min="3" max="4" width="10" customWidth="1"/>
    <col min="5" max="5" width="9.83203125" customWidth="1"/>
    <col min="6" max="6" width="10" customWidth="1"/>
    <col min="7" max="7" width="9.83203125" customWidth="1"/>
    <col min="8" max="8" width="10" customWidth="1"/>
    <col min="9" max="9" width="9.83203125" customWidth="1"/>
    <col min="10" max="10" width="11.1640625" customWidth="1"/>
    <col min="11" max="11" width="9.83203125" customWidth="1"/>
    <col min="12" max="12" width="24" customWidth="1"/>
  </cols>
  <sheetData>
    <row r="1" spans="1:15" ht="45.75" customHeight="1">
      <c r="A1" s="537" t="s">
        <v>0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</row>
    <row r="2" spans="1:15" ht="18.95" customHeight="1">
      <c r="A2" s="538" t="s">
        <v>1</v>
      </c>
      <c r="B2" s="4" t="s">
        <v>2</v>
      </c>
      <c r="C2" s="5">
        <v>100</v>
      </c>
      <c r="D2" s="5">
        <v>120</v>
      </c>
      <c r="E2" s="5">
        <v>140</v>
      </c>
      <c r="F2" s="5">
        <v>160</v>
      </c>
      <c r="G2" s="5">
        <v>180</v>
      </c>
      <c r="H2" s="5">
        <v>200</v>
      </c>
      <c r="I2" s="5">
        <v>220</v>
      </c>
      <c r="J2" s="5">
        <v>240</v>
      </c>
      <c r="K2" s="226"/>
      <c r="L2" s="2"/>
    </row>
    <row r="3" spans="1:15" ht="18" customHeight="1">
      <c r="A3" s="538"/>
      <c r="B3" s="9">
        <v>100</v>
      </c>
      <c r="C3" s="10">
        <f>(('70 (2)'!C3/(1+Korting!$B$3)*(1-Korting!$B$2)*Prijsmutaties!$B$9))</f>
        <v>310.33112163545451</v>
      </c>
      <c r="D3" s="10">
        <f>(('70 (2)'!D3/(1+Korting!$B$3)*(1-Korting!$B$2)*Prijsmutaties!$B$9))</f>
        <v>328.63974238090901</v>
      </c>
      <c r="E3" s="10">
        <f>(('70 (2)'!E3/(1+Korting!$B$3)*(1-Korting!$B$2)*Prijsmutaties!$B$9))</f>
        <v>352.44094934999993</v>
      </c>
      <c r="F3" s="10">
        <f>(('70 (2)'!F3/(1+Korting!$B$3)*(1-Korting!$B$2)*Prijsmutaties!$B$9))</f>
        <v>372.58043216999994</v>
      </c>
      <c r="G3" s="10">
        <f>(('70 (2)'!G3/(1+Korting!$B$3)*(1-Korting!$B$2)*Prijsmutaties!$B$9))</f>
        <v>392.71991498999995</v>
      </c>
      <c r="H3" s="10">
        <f>(('70 (2)'!H3/(1+Korting!$B$3)*(1-Korting!$B$2)*Prijsmutaties!$B$9))</f>
        <v>409.197673660909</v>
      </c>
      <c r="I3" s="10">
        <f>(('70 (2)'!I3/(1+Korting!$B$3)*(1-Korting!$B$2)*Prijsmutaties!$B$9))</f>
        <v>435.74517374181812</v>
      </c>
      <c r="J3" s="10">
        <f>(('70 (2)'!J3/(1+Korting!$B$3)*(1-Korting!$B$2)*Prijsmutaties!$B$9))</f>
        <v>455.52672302624438</v>
      </c>
      <c r="K3" s="13">
        <v>100</v>
      </c>
      <c r="L3" s="2"/>
    </row>
    <row r="4" spans="1:15" ht="18" customHeight="1">
      <c r="A4" s="538"/>
      <c r="B4" s="14">
        <v>120</v>
      </c>
      <c r="C4" s="15">
        <f>(('70 (2)'!C4/(1+Korting!$B$3)*(1-Korting!$B$2)*Prijsmutaties!$B$9))</f>
        <v>318.57000097090906</v>
      </c>
      <c r="D4" s="15">
        <f>(('70 (2)'!D4/(1+Korting!$B$3)*(1-Korting!$B$2)*Prijsmutaties!$B$9))</f>
        <v>338.70948379090902</v>
      </c>
      <c r="E4" s="15">
        <f>(('70 (2)'!E4/(1+Korting!$B$3)*(1-Korting!$B$2)*Prijsmutaties!$B$9))</f>
        <v>360.67982868545448</v>
      </c>
      <c r="F4" s="15">
        <f>(('70 (2)'!F4/(1+Korting!$B$3)*(1-Korting!$B$2)*Prijsmutaties!$B$9))</f>
        <v>378.98844943090904</v>
      </c>
      <c r="G4" s="15">
        <f>(('70 (2)'!G4/(1+Korting!$B$3)*(1-Korting!$B$2)*Prijsmutaties!$B$9))</f>
        <v>399.12793225090905</v>
      </c>
      <c r="H4" s="15">
        <f>(('70 (2)'!H4/(1+Korting!$B$3)*(1-Korting!$B$2)*Prijsmutaties!$B$9))</f>
        <v>415.60569092181811</v>
      </c>
      <c r="I4" s="15">
        <f>(('70 (2)'!I4/(1+Korting!$B$3)*(1-Korting!$B$2)*Prijsmutaties!$B$9))</f>
        <v>445.81491515181807</v>
      </c>
      <c r="J4" s="15">
        <f>(('70 (2)'!J4/(1+Korting!$B$3)*(1-Korting!$B$2)*Prijsmutaties!$B$9))</f>
        <v>463.29690167061534</v>
      </c>
      <c r="K4" s="5">
        <v>120</v>
      </c>
      <c r="L4" s="2"/>
    </row>
    <row r="5" spans="1:15" ht="18" customHeight="1">
      <c r="A5" s="538"/>
      <c r="B5" s="9">
        <v>140</v>
      </c>
      <c r="C5" s="10">
        <f>(('70 (2)'!C5/(1+Korting!$B$3)*(1-Korting!$B$2)*Prijsmutaties!$B$9))</f>
        <v>328.63974238090901</v>
      </c>
      <c r="D5" s="10">
        <f>(('70 (2)'!D5/(1+Korting!$B$3)*(1-Korting!$B$2)*Prijsmutaties!$B$9))</f>
        <v>348.77922520090902</v>
      </c>
      <c r="E5" s="10">
        <f>(('70 (2)'!E5/(1+Korting!$B$3)*(1-Korting!$B$2)*Prijsmutaties!$B$9))</f>
        <v>368.91870802090898</v>
      </c>
      <c r="F5" s="10">
        <f>(('70 (2)'!F5/(1+Korting!$B$3)*(1-Korting!$B$2)*Prijsmutaties!$B$9))</f>
        <v>385.39646669181809</v>
      </c>
      <c r="G5" s="10">
        <f>(('70 (2)'!G5/(1+Korting!$B$3)*(1-Korting!$B$2)*Prijsmutaties!$B$9))</f>
        <v>405.5359495118181</v>
      </c>
      <c r="H5" s="10">
        <f>(('70 (2)'!H5/(1+Korting!$B$3)*(1-Korting!$B$2)*Prijsmutaties!$B$9))</f>
        <v>432.99888062999992</v>
      </c>
      <c r="I5" s="10">
        <f>(('70 (2)'!I5/(1+Korting!$B$3)*(1-Korting!$B$2)*Prijsmutaties!$B$9))</f>
        <v>451.30750137545442</v>
      </c>
      <c r="J5" s="10">
        <f>(('70 (2)'!J5/(1+Korting!$B$3)*(1-Korting!$B$2)*Prijsmutaties!$B$9))</f>
        <v>472.0383526455326</v>
      </c>
      <c r="K5" s="13">
        <v>140</v>
      </c>
      <c r="L5" s="15"/>
    </row>
    <row r="6" spans="1:15" ht="18" customHeight="1">
      <c r="A6" s="538"/>
      <c r="B6" s="14">
        <v>160</v>
      </c>
      <c r="C6" s="15">
        <f>(('70 (2)'!C6/(1+Korting!$B$3)*(1-Korting!$B$2)*Prijsmutaties!$B$9))</f>
        <v>342.37120793999998</v>
      </c>
      <c r="D6" s="15">
        <f>(('70 (2)'!D6/(1+Korting!$B$3)*(1-Korting!$B$2)*Prijsmutaties!$B$9))</f>
        <v>362.51069075999993</v>
      </c>
      <c r="E6" s="15">
        <f>(('70 (2)'!E6/(1+Korting!$B$3)*(1-Korting!$B$2)*Prijsmutaties!$B$9))</f>
        <v>385.39646669181809</v>
      </c>
      <c r="F6" s="15">
        <f>(('70 (2)'!F6/(1+Korting!$B$3)*(1-Korting!$B$2)*Prijsmutaties!$B$9))</f>
        <v>407.3668115863635</v>
      </c>
      <c r="G6" s="15">
        <f>(('70 (2)'!G6/(1+Korting!$B$3)*(1-Korting!$B$2)*Prijsmutaties!$B$9))</f>
        <v>435.74517374181812</v>
      </c>
      <c r="H6" s="15">
        <f>(('70 (2)'!H6/(1+Korting!$B$3)*(1-Korting!$B$2)*Prijsmutaties!$B$9))</f>
        <v>455.88465656181808</v>
      </c>
      <c r="I6" s="15">
        <f>(('70 (2)'!I6/(1+Korting!$B$3)*(1-Korting!$B$2)*Prijsmutaties!$B$9))</f>
        <v>476.02413938181809</v>
      </c>
      <c r="J6" s="15">
        <f>(('70 (2)'!J6/(1+Korting!$B$3)*(1-Korting!$B$2)*Prijsmutaties!$B$9))</f>
        <v>500.20525023137714</v>
      </c>
      <c r="K6" s="5">
        <v>160</v>
      </c>
      <c r="L6" s="2"/>
    </row>
    <row r="7" spans="1:15" ht="18" customHeight="1">
      <c r="A7" s="538"/>
      <c r="B7" s="9">
        <v>180</v>
      </c>
      <c r="C7" s="10">
        <f>(('70 (2)'!C7/(1+Korting!$B$3)*(1-Korting!$B$2)*Prijsmutaties!$B$9))</f>
        <v>355.18724246181813</v>
      </c>
      <c r="D7" s="10">
        <f>(('70 (2)'!D7/(1+Korting!$B$3)*(1-Korting!$B$2)*Prijsmutaties!$B$9))</f>
        <v>380.81931150545444</v>
      </c>
      <c r="E7" s="10">
        <f>(('70 (2)'!E7/(1+Korting!$B$3)*(1-Korting!$B$2)*Prijsmutaties!$B$9))</f>
        <v>402.7896563999999</v>
      </c>
      <c r="F7" s="10">
        <f>(('70 (2)'!F7/(1+Korting!$B$3)*(1-Korting!$B$2)*Prijsmutaties!$B$9))</f>
        <v>432.99888062999992</v>
      </c>
      <c r="G7" s="10">
        <f>(('70 (2)'!G7/(1+Korting!$B$3)*(1-Korting!$B$2)*Prijsmutaties!$B$9))</f>
        <v>455.88465656181808</v>
      </c>
      <c r="H7" s="10">
        <f>(('70 (2)'!H7/(1+Korting!$B$3)*(1-Korting!$B$2)*Prijsmutaties!$B$9))</f>
        <v>476.02413938181809</v>
      </c>
      <c r="I7" s="10">
        <f>(('70 (2)'!I7/(1+Korting!$B$3)*(1-Korting!$B$2)*Prijsmutaties!$B$9))</f>
        <v>499.825346350909</v>
      </c>
      <c r="J7" s="10">
        <f>(('70 (2)'!J7/(1+Korting!$B$3)*(1-Korting!$B$2)*Prijsmutaties!$B$9))</f>
        <v>528.37214781722162</v>
      </c>
      <c r="K7" s="13">
        <v>180</v>
      </c>
      <c r="L7" s="2"/>
      <c r="O7" s="220"/>
    </row>
    <row r="8" spans="1:15" ht="18.95" customHeight="1">
      <c r="A8" s="538"/>
      <c r="B8" s="14">
        <v>200</v>
      </c>
      <c r="C8" s="15">
        <f>(('70 (2)'!C8/(1+Korting!$B$3)*(1-Korting!$B$2)*Prijsmutaties!$B$9))</f>
        <v>372.58043216999994</v>
      </c>
      <c r="D8" s="15">
        <f>(('70 (2)'!D8/(1+Korting!$B$3)*(1-Korting!$B$2)*Prijsmutaties!$B$9))</f>
        <v>395.46620810181804</v>
      </c>
      <c r="E8" s="15">
        <f>(('70 (2)'!E8/(1+Korting!$B$3)*(1-Korting!$B$2)*Prijsmutaties!$B$9))</f>
        <v>415.60569092181811</v>
      </c>
      <c r="F8" s="15">
        <f>(('70 (2)'!F8/(1+Korting!$B$3)*(1-Korting!$B$2)*Prijsmutaties!$B$9))</f>
        <v>449.47663930090897</v>
      </c>
      <c r="G8" s="15">
        <f>(('70 (2)'!G8/(1+Korting!$B$3)*(1-Korting!$B$2)*Prijsmutaties!$B$9))</f>
        <v>471.44698419545443</v>
      </c>
      <c r="H8" s="15">
        <f>(('70 (2)'!H8/(1+Korting!$B$3)*(1-Korting!$B$2)*Prijsmutaties!$B$9))</f>
        <v>497.99448427636349</v>
      </c>
      <c r="I8" s="15">
        <f>(('70 (2)'!I8/(1+Korting!$B$3)*(1-Korting!$B$2)*Prijsmutaties!$B$9))</f>
        <v>525.45741539454536</v>
      </c>
      <c r="J8" s="15">
        <f>(('70 (2)'!J8/(1+Korting!$B$3)*(1-Korting!$B$2)*Prijsmutaties!$B$9))</f>
        <v>543.91250510596353</v>
      </c>
      <c r="K8" s="5">
        <v>200</v>
      </c>
      <c r="L8" s="2"/>
    </row>
    <row r="9" spans="1:15" ht="18" customHeight="1">
      <c r="A9" s="538"/>
      <c r="B9" s="9">
        <v>220</v>
      </c>
      <c r="C9" s="10">
        <f>(('70 (2)'!C9/(1+Korting!$B$3)*(1-Korting!$B$2)*Prijsmutaties!$B$9))</f>
        <v>395.46620810181804</v>
      </c>
      <c r="D9" s="10">
        <f>(('70 (2)'!D9/(1+Korting!$B$3)*(1-Korting!$B$2)*Prijsmutaties!$B$9))</f>
        <v>427.50629440636351</v>
      </c>
      <c r="E9" s="10">
        <f>(('70 (2)'!E9/(1+Korting!$B$3)*(1-Korting!$B$2)*Prijsmutaties!$B$9))</f>
        <v>455.88465656181808</v>
      </c>
      <c r="F9" s="10">
        <f>(('70 (2)'!F9/(1+Korting!$B$3)*(1-Korting!$B$2)*Prijsmutaties!$B$9))</f>
        <v>481.5167256054545</v>
      </c>
      <c r="G9" s="10">
        <f>(('70 (2)'!G9/(1+Korting!$B$3)*(1-Korting!$B$2)*Prijsmutaties!$B$9))</f>
        <v>509.89508776090895</v>
      </c>
      <c r="H9" s="10">
        <f>(('70 (2)'!H9/(1+Korting!$B$3)*(1-Korting!$B$2)*Prijsmutaties!$B$9))</f>
        <v>535.52715680454537</v>
      </c>
      <c r="I9" s="10">
        <f>(('70 (2)'!I9/(1+Korting!$B$3)*(1-Korting!$B$2)*Prijsmutaties!$B$9))</f>
        <v>570.31353622090899</v>
      </c>
      <c r="J9" s="10"/>
      <c r="K9" s="13">
        <v>220</v>
      </c>
      <c r="L9" s="2"/>
    </row>
    <row r="10" spans="1:15" ht="18" customHeight="1">
      <c r="A10" s="538"/>
      <c r="B10" s="19">
        <v>240</v>
      </c>
      <c r="C10" s="20">
        <f>(('70 (2)'!C10/(1+Korting!$B$3)*(1-Korting!$B$2)*Prijsmutaties!$B$9))</f>
        <v>399.12793225090905</v>
      </c>
      <c r="D10" s="20">
        <f>(('70 (2)'!D10/(1+Korting!$B$3)*(1-Korting!$B$2)*Prijsmutaties!$B$9))</f>
        <v>435.74517374181812</v>
      </c>
      <c r="E10" s="20">
        <f>(('70 (2)'!E10/(1+Korting!$B$3)*(1-Korting!$B$2)*Prijsmutaties!$B$9))</f>
        <v>463.20810485999988</v>
      </c>
      <c r="F10" s="20">
        <f>(('70 (2)'!F10/(1+Korting!$B$3)*(1-Korting!$B$2)*Prijsmutaties!$B$9))</f>
        <v>489.755604940909</v>
      </c>
      <c r="G10" s="20">
        <f>(('70 (2)'!G10/(1+Korting!$B$3)*(1-Korting!$B$2)*Prijsmutaties!$B$9))</f>
        <v>519.96482917090896</v>
      </c>
      <c r="H10" s="20">
        <f>(('70 (2)'!H10/(1+Korting!$B$3)*(1-Korting!$B$2)*Prijsmutaties!$B$9))</f>
        <v>543.76603613999987</v>
      </c>
      <c r="I10" s="227"/>
      <c r="J10" s="227"/>
      <c r="K10" s="24">
        <v>240</v>
      </c>
      <c r="L10" s="2"/>
    </row>
    <row r="11" spans="1:15" ht="18.95" customHeight="1">
      <c r="A11" s="538"/>
      <c r="B11" s="533"/>
      <c r="C11" s="533"/>
      <c r="D11" s="533"/>
      <c r="E11" s="533"/>
      <c r="F11" s="533"/>
      <c r="G11" s="533"/>
      <c r="H11" s="533"/>
      <c r="I11" s="533"/>
      <c r="J11" s="533"/>
      <c r="K11" s="533"/>
      <c r="L11" s="2"/>
    </row>
    <row r="12" spans="1:15" ht="18.95" customHeight="1">
      <c r="A12" s="538"/>
      <c r="B12" s="25" t="s">
        <v>2</v>
      </c>
      <c r="C12" s="26">
        <v>100</v>
      </c>
      <c r="D12" s="26">
        <v>120</v>
      </c>
      <c r="E12" s="26">
        <v>140</v>
      </c>
      <c r="F12" s="27">
        <v>160</v>
      </c>
      <c r="G12" s="28">
        <v>180</v>
      </c>
      <c r="H12" s="28">
        <v>200</v>
      </c>
      <c r="I12" s="27">
        <v>220</v>
      </c>
      <c r="J12" s="183">
        <v>240</v>
      </c>
      <c r="K12" s="29"/>
      <c r="L12" s="2"/>
    </row>
    <row r="13" spans="1:15" ht="18" customHeight="1">
      <c r="A13" s="538"/>
      <c r="B13" s="9">
        <v>100</v>
      </c>
      <c r="C13" s="10">
        <f>(('70 (2)'!C13/(1+Korting!$B$3)*(1-Korting!$B$2)*Prijsmutaties!$B$9))</f>
        <v>505.31793257454541</v>
      </c>
      <c r="D13" s="10">
        <f>(('70 (2)'!D13/(1+Korting!$B$3)*(1-Korting!$B$2)*Prijsmutaties!$B$9))</f>
        <v>521.79569124545435</v>
      </c>
      <c r="E13" s="10">
        <f>(('70 (2)'!E13/(1+Korting!$B$3)*(1-Korting!$B$2)*Prijsmutaties!$B$9))</f>
        <v>543.76603613999987</v>
      </c>
      <c r="F13" s="11">
        <f>(('70 (2)'!F13/(1+Korting!$B$3)*(1-Korting!$B$2)*Prijsmutaties!$B$9))</f>
        <v>568.48267414636348</v>
      </c>
      <c r="G13" s="12">
        <f>(('70 (2)'!G13/(1+Korting!$B$3)*(1-Korting!$B$2)*Prijsmutaties!$B$9))</f>
        <v>588.62215696636349</v>
      </c>
      <c r="H13" s="12">
        <f>(('70 (2)'!H13/(1+Korting!$B$3)*(1-Korting!$B$2)*Prijsmutaties!$B$9))</f>
        <v>606.0153466745453</v>
      </c>
      <c r="I13" s="11">
        <f>(('70 (2)'!I13/(1+Korting!$B$3)*(1-Korting!$B$2)*Prijsmutaties!$B$9))</f>
        <v>628.90112260636351</v>
      </c>
      <c r="J13" s="11">
        <f>(('70 (2)'!J13/(1+Korting!$B$3)*(1-Korting!$B$2)*Prijsmutaties!$B$9))</f>
        <v>648.80991680497073</v>
      </c>
      <c r="K13" s="13">
        <v>100</v>
      </c>
      <c r="L13" s="2"/>
    </row>
    <row r="14" spans="1:15" ht="18" customHeight="1">
      <c r="A14" s="538"/>
      <c r="B14" s="14">
        <v>120</v>
      </c>
      <c r="C14" s="15">
        <f>(('70 (2)'!C14/(1+Korting!$B$3)*(1-Korting!$B$2)*Prijsmutaties!$B$9))</f>
        <v>513.55681190999996</v>
      </c>
      <c r="D14" s="15">
        <f>(('70 (2)'!D14/(1+Korting!$B$3)*(1-Korting!$B$2)*Prijsmutaties!$B$9))</f>
        <v>531.86543265545436</v>
      </c>
      <c r="E14" s="15">
        <f>(('70 (2)'!E14/(1+Korting!$B$3)*(1-Korting!$B$2)*Prijsmutaties!$B$9))</f>
        <v>552.00491547545448</v>
      </c>
      <c r="F14" s="16">
        <f>(('70 (2)'!F14/(1+Korting!$B$3)*(1-Korting!$B$2)*Prijsmutaties!$B$9))</f>
        <v>575.80612244454539</v>
      </c>
      <c r="G14" s="17">
        <f>(('70 (2)'!G14/(1+Korting!$B$3)*(1-Korting!$B$2)*Prijsmutaties!$B$9))</f>
        <v>594.1147431899999</v>
      </c>
      <c r="H14" s="17">
        <f>(('70 (2)'!H14/(1+Korting!$B$3)*(1-Korting!$B$2)*Prijsmutaties!$B$9))</f>
        <v>614.25422600999991</v>
      </c>
      <c r="I14" s="16">
        <f>(('70 (2)'!I14/(1+Korting!$B$3)*(1-Korting!$B$2)*Prijsmutaties!$B$9))</f>
        <v>634.39370882999981</v>
      </c>
      <c r="J14" s="16">
        <f>(('70 (2)'!J14/(1+Korting!$B$3)*(1-Korting!$B$2)*Prijsmutaties!$B$9))</f>
        <v>654.63755078824897</v>
      </c>
      <c r="K14" s="5">
        <v>120</v>
      </c>
      <c r="L14" s="2"/>
    </row>
    <row r="15" spans="1:15" ht="18" customHeight="1">
      <c r="A15" s="538"/>
      <c r="B15" s="9">
        <v>140</v>
      </c>
      <c r="C15" s="10">
        <f>(('70 (2)'!C15/(1+Korting!$B$3)*(1-Korting!$B$2)*Prijsmutaties!$B$9))</f>
        <v>521.79569124545435</v>
      </c>
      <c r="D15" s="10">
        <f>(('70 (2)'!D15/(1+Korting!$B$3)*(1-Korting!$B$2)*Prijsmutaties!$B$9))</f>
        <v>538.27344991636357</v>
      </c>
      <c r="E15" s="10">
        <f>(('70 (2)'!E15/(1+Korting!$B$3)*(1-Korting!$B$2)*Prijsmutaties!$B$9))</f>
        <v>560.24379481090898</v>
      </c>
      <c r="F15" s="11">
        <f>(('70 (2)'!F15/(1+Korting!$B$3)*(1-Korting!$B$2)*Prijsmutaties!$B$9))</f>
        <v>580.38327763090888</v>
      </c>
      <c r="G15" s="12">
        <f>(('70 (2)'!G15/(1+Korting!$B$3)*(1-Korting!$B$2)*Prijsmutaties!$B$9))</f>
        <v>598.6918983763635</v>
      </c>
      <c r="H15" s="12">
        <f>(('70 (2)'!H15/(1+Korting!$B$3)*(1-Korting!$B$2)*Prijsmutaties!$B$9))</f>
        <v>626.15482949454542</v>
      </c>
      <c r="I15" s="11">
        <f>(('70 (2)'!I15/(1+Korting!$B$3)*(1-Korting!$B$2)*Prijsmutaties!$B$9))</f>
        <v>642.63258816545431</v>
      </c>
      <c r="J15" s="11">
        <f>(('70 (2)'!J15/(1+Korting!$B$3)*(1-Korting!$B$2)*Prijsmutaties!$B$9))</f>
        <v>667.26409108535165</v>
      </c>
      <c r="K15" s="13">
        <v>140</v>
      </c>
      <c r="L15" s="2"/>
    </row>
    <row r="16" spans="1:15" ht="18" customHeight="1">
      <c r="A16" s="538"/>
      <c r="B16" s="14">
        <v>160</v>
      </c>
      <c r="C16" s="15">
        <f>(('70 (2)'!C16/(1+Korting!$B$3)*(1-Korting!$B$2)*Prijsmutaties!$B$9))</f>
        <v>533.69629472999986</v>
      </c>
      <c r="D16" s="15">
        <f>(('70 (2)'!D16/(1+Korting!$B$3)*(1-Korting!$B$2)*Prijsmutaties!$B$9))</f>
        <v>555.66663962454538</v>
      </c>
      <c r="E16" s="15">
        <f>(('70 (2)'!E16/(1+Korting!$B$3)*(1-Korting!$B$2)*Prijsmutaties!$B$9))</f>
        <v>580.38327763090888</v>
      </c>
      <c r="F16" s="16">
        <f>(('70 (2)'!F16/(1+Korting!$B$3)*(1-Korting!$B$2)*Prijsmutaties!$B$9))</f>
        <v>602.35362252545451</v>
      </c>
      <c r="G16" s="17">
        <f>(('70 (2)'!G16/(1+Korting!$B$3)*(1-Korting!$B$2)*Prijsmutaties!$B$9))</f>
        <v>628.90112260636351</v>
      </c>
      <c r="H16" s="17">
        <f>(('70 (2)'!H16/(1+Korting!$B$3)*(1-Korting!$B$2)*Prijsmutaties!$B$9))</f>
        <v>649.04060542636341</v>
      </c>
      <c r="I16" s="16">
        <f>(('70 (2)'!I16/(1+Korting!$B$3)*(1-Korting!$B$2)*Prijsmutaties!$B$9))</f>
        <v>671.01095032090893</v>
      </c>
      <c r="J16" s="16">
        <f>(('70 (2)'!J16/(1+Korting!$B$3)*(1-Korting!$B$2)*Prijsmutaties!$B$9))</f>
        <v>690.57462701846441</v>
      </c>
      <c r="K16" s="5">
        <v>160</v>
      </c>
      <c r="L16" s="2"/>
    </row>
    <row r="17" spans="1:12" ht="18.95" customHeight="1">
      <c r="A17" s="538"/>
      <c r="B17" s="9">
        <v>180</v>
      </c>
      <c r="C17" s="10">
        <f>(('70 (2)'!C17/(1+Korting!$B$3)*(1-Korting!$B$2)*Prijsmutaties!$B$9))</f>
        <v>545.59689821454538</v>
      </c>
      <c r="D17" s="10">
        <f>(('70 (2)'!D17/(1+Korting!$B$3)*(1-Korting!$B$2)*Prijsmutaties!$B$9))</f>
        <v>578.5524155563636</v>
      </c>
      <c r="E17" s="10">
        <f>(('70 (2)'!E17/(1+Korting!$B$3)*(1-Korting!$B$2)*Prijsmutaties!$B$9))</f>
        <v>595.94560526454529</v>
      </c>
      <c r="F17" s="11">
        <f>(('70 (2)'!F17/(1+Korting!$B$3)*(1-Korting!$B$2)*Prijsmutaties!$B$9))</f>
        <v>626.15482949454542</v>
      </c>
      <c r="G17" s="12">
        <f>(('70 (2)'!G17/(1+Korting!$B$3)*(1-Korting!$B$2)*Prijsmutaties!$B$9))</f>
        <v>649.04060542636341</v>
      </c>
      <c r="H17" s="12">
        <f>(('70 (2)'!H17/(1+Korting!$B$3)*(1-Korting!$B$2)*Prijsmutaties!$B$9))</f>
        <v>671.01095032090893</v>
      </c>
      <c r="I17" s="11">
        <f>(('70 (2)'!I17/(1+Korting!$B$3)*(1-Korting!$B$2)*Prijsmutaties!$B$9))</f>
        <v>691.15043314090894</v>
      </c>
      <c r="J17" s="11">
        <f>(('70 (2)'!J17/(1+Korting!$B$3)*(1-Korting!$B$2)*Prijsmutaties!$B$9))</f>
        <v>725.54043091813344</v>
      </c>
      <c r="K17" s="13">
        <v>180</v>
      </c>
      <c r="L17" s="2"/>
    </row>
    <row r="18" spans="1:12" ht="18" customHeight="1">
      <c r="A18" s="538"/>
      <c r="B18" s="19">
        <v>200</v>
      </c>
      <c r="C18" s="15">
        <f>(('70 (2)'!C18/(1+Korting!$B$3)*(1-Korting!$B$2)*Prijsmutaties!$B$9))</f>
        <v>568.48267414636348</v>
      </c>
      <c r="D18" s="15">
        <f>(('70 (2)'!D18/(1+Korting!$B$3)*(1-Korting!$B$2)*Prijsmutaties!$B$9))</f>
        <v>590.453019040909</v>
      </c>
      <c r="E18" s="15">
        <f>(('70 (2)'!E18/(1+Korting!$B$3)*(1-Korting!$B$2)*Prijsmutaties!$B$9))</f>
        <v>614.25422600999991</v>
      </c>
      <c r="F18" s="16">
        <f>(('70 (2)'!F18/(1+Korting!$B$3)*(1-Korting!$B$2)*Prijsmutaties!$B$9))</f>
        <v>638.97086401636352</v>
      </c>
      <c r="G18" s="17">
        <f>(('70 (2)'!G18/(1+Korting!$B$3)*(1-Korting!$B$2)*Prijsmutaties!$B$9))</f>
        <v>666.43379513454522</v>
      </c>
      <c r="H18" s="17">
        <f>(('70 (2)'!H18/(1+Korting!$B$3)*(1-Korting!$B$2)*Prijsmutaties!$B$9))</f>
        <v>689.31957106636355</v>
      </c>
      <c r="I18" s="16">
        <f>(('70 (2)'!I18/(1+Korting!$B$3)*(1-Korting!$B$2)*Prijsmutaties!$B$9))</f>
        <v>723.19051944545447</v>
      </c>
      <c r="J18" s="16">
        <f>(('70 (2)'!J18/(1+Korting!$B$3)*(1-Korting!$B$2)*Prijsmutaties!$B$9))</f>
        <v>741.08078820687524</v>
      </c>
      <c r="K18" s="24">
        <v>200</v>
      </c>
      <c r="L18" s="2"/>
    </row>
    <row r="19" spans="1:12" ht="18.95" customHeight="1">
      <c r="A19" s="538"/>
      <c r="B19" s="533"/>
      <c r="C19" s="533"/>
      <c r="D19" s="533"/>
      <c r="E19" s="533"/>
      <c r="F19" s="533"/>
      <c r="G19" s="533"/>
      <c r="H19" s="533"/>
      <c r="I19" s="533"/>
      <c r="J19" s="533"/>
      <c r="K19" s="533"/>
      <c r="L19" s="2"/>
    </row>
    <row r="20" spans="1:12" ht="18" customHeight="1">
      <c r="A20" s="538"/>
      <c r="B20" s="30"/>
      <c r="C20" s="534" t="s">
        <v>3</v>
      </c>
      <c r="D20" s="535"/>
      <c r="E20" s="535"/>
      <c r="F20" s="535"/>
      <c r="G20" s="535"/>
      <c r="H20" s="535"/>
      <c r="I20" s="535"/>
      <c r="J20" s="535"/>
      <c r="K20" s="536"/>
      <c r="L20" s="2"/>
    </row>
    <row r="21" spans="1:12" ht="18.95" customHeight="1">
      <c r="A21" s="538"/>
      <c r="B21" s="31" t="s">
        <v>4</v>
      </c>
      <c r="C21" s="13">
        <v>100</v>
      </c>
      <c r="D21" s="13">
        <v>120</v>
      </c>
      <c r="E21" s="13">
        <v>140</v>
      </c>
      <c r="F21" s="32">
        <v>160</v>
      </c>
      <c r="G21" s="33">
        <v>180</v>
      </c>
      <c r="H21" s="33">
        <v>200</v>
      </c>
      <c r="I21" s="32">
        <v>220</v>
      </c>
      <c r="J21" s="181">
        <v>240</v>
      </c>
      <c r="K21" s="18"/>
      <c r="L21" s="2"/>
    </row>
    <row r="22" spans="1:12" ht="18" customHeight="1">
      <c r="A22" s="538"/>
      <c r="B22" s="34" t="s">
        <v>5</v>
      </c>
      <c r="C22" s="15">
        <f>(('70 (2)'!C22/(1+Korting!$B$3)*(1-Korting!$B$2)*Prijsmutaties!$B$9))</f>
        <v>198.13955543145812</v>
      </c>
      <c r="D22" s="15">
        <f>(('70 (2)'!D22/(1+Korting!$B$3)*(1-Korting!$B$2)*Prijsmutaties!$B$9))</f>
        <v>198.13955543145812</v>
      </c>
      <c r="E22" s="15">
        <f>(('70 (2)'!E22/(1+Korting!$B$3)*(1-Korting!$B$2)*Prijsmutaties!$B$9))</f>
        <v>198.13955543145812</v>
      </c>
      <c r="F22" s="16">
        <f>(('70 (2)'!F22/(1+Korting!$B$3)*(1-Korting!$B$2)*Prijsmutaties!$B$9))</f>
        <v>198.13955543145812</v>
      </c>
      <c r="G22" s="17">
        <f>(('70 (2)'!G22/(1+Korting!$B$3)*(1-Korting!$B$2)*Prijsmutaties!$B$9))</f>
        <v>198.13955543145812</v>
      </c>
      <c r="H22" s="17">
        <f>(('70 (2)'!H22/(1+Korting!$B$3)*(1-Korting!$B$2)*Prijsmutaties!$B$9))</f>
        <v>254.47335060314722</v>
      </c>
      <c r="I22" s="16">
        <f>(('70 (2)'!I22/(1+Korting!$B$3)*(1-Korting!$B$2)*Prijsmutaties!$B$9))</f>
        <v>254.47335060314722</v>
      </c>
      <c r="J22" s="16">
        <f>(('70 (2)'!J22/(1+Korting!$B$3)*(1-Korting!$B$2)*Prijsmutaties!$B$9))</f>
        <v>254.47335060314722</v>
      </c>
      <c r="K22" s="8"/>
      <c r="L22" s="2"/>
    </row>
    <row r="23" spans="1:12" ht="18" customHeight="1">
      <c r="A23" s="538"/>
      <c r="B23" s="31" t="s">
        <v>6</v>
      </c>
      <c r="C23" s="10">
        <f>(('70 (2)'!C23/(1+Korting!$B$3)*(1-Korting!$B$2)*Prijsmutaties!$B$9))</f>
        <v>99.06977771572906</v>
      </c>
      <c r="D23" s="10">
        <f>(('70 (2)'!D23/(1+Korting!$B$3)*(1-Korting!$B$2)*Prijsmutaties!$B$9))</f>
        <v>99.06977771572906</v>
      </c>
      <c r="E23" s="10">
        <f>(('70 (2)'!E23/(1+Korting!$B$3)*(1-Korting!$B$2)*Prijsmutaties!$B$9))</f>
        <v>99.06977771572906</v>
      </c>
      <c r="F23" s="11">
        <f>(('70 (2)'!F23/(1+Korting!$B$3)*(1-Korting!$B$2)*Prijsmutaties!$B$9))</f>
        <v>99.06977771572906</v>
      </c>
      <c r="G23" s="12">
        <f>(('70 (2)'!G23/(1+Korting!$B$3)*(1-Korting!$B$2)*Prijsmutaties!$B$9))</f>
        <v>99.06977771572906</v>
      </c>
      <c r="H23" s="12">
        <f>(('70 (2)'!H23/(1+Korting!$B$3)*(1-Korting!$B$2)*Prijsmutaties!$B$9))</f>
        <v>127.23667530157361</v>
      </c>
      <c r="I23" s="11">
        <f>(('70 (2)'!I23/(1+Korting!$B$3)*(1-Korting!$B$2)*Prijsmutaties!$B$9))</f>
        <v>127.23667530157361</v>
      </c>
      <c r="J23" s="11">
        <f>(('70 (2)'!J23/(1+Korting!$B$3)*(1-Korting!$B$2)*Prijsmutaties!$B$9))</f>
        <v>127.23667530157361</v>
      </c>
      <c r="K23" s="18"/>
      <c r="L23" s="2"/>
    </row>
    <row r="24" spans="1:12" ht="17.4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182"/>
      <c r="L24" s="182"/>
    </row>
    <row r="25" spans="1:12" ht="12.75" customHeight="1">
      <c r="A25" s="531" t="s">
        <v>7</v>
      </c>
      <c r="B25" s="531"/>
      <c r="C25" s="531"/>
      <c r="D25" s="531"/>
      <c r="E25" s="531"/>
      <c r="F25" s="531"/>
      <c r="G25" s="531"/>
      <c r="H25" s="531"/>
      <c r="I25" s="2"/>
      <c r="J25" s="2"/>
      <c r="K25" s="182"/>
      <c r="L25" s="182"/>
    </row>
    <row r="26" spans="1:12" ht="14.1" customHeight="1">
      <c r="A26" s="532"/>
      <c r="B26" s="532"/>
      <c r="C26" s="532"/>
      <c r="D26" s="532"/>
      <c r="E26" s="532"/>
      <c r="F26" s="532"/>
      <c r="G26" s="532"/>
      <c r="H26" s="532"/>
      <c r="I26" s="2"/>
      <c r="J26" s="2"/>
      <c r="K26" s="2"/>
      <c r="L26" s="2"/>
    </row>
    <row r="27" spans="1:12" ht="18" customHeight="1">
      <c r="A27" s="539" t="s">
        <v>8</v>
      </c>
      <c r="B27" s="540"/>
      <c r="C27" s="540"/>
      <c r="D27" s="540"/>
      <c r="E27" s="540"/>
      <c r="F27" s="540"/>
      <c r="G27" s="541"/>
      <c r="H27" s="16">
        <f>(('70 (2)'!H27/(1+Korting!$B$3)*(1-Korting!$B$2)*Prijsmutaties!$G$9))</f>
        <v>169.4538776859504</v>
      </c>
      <c r="I27" s="2"/>
      <c r="J27" s="2"/>
      <c r="K27" s="2"/>
      <c r="L27" s="2"/>
    </row>
    <row r="28" spans="1:12" ht="18" customHeight="1">
      <c r="A28" s="542" t="s">
        <v>9</v>
      </c>
      <c r="B28" s="543"/>
      <c r="C28" s="543"/>
      <c r="D28" s="543"/>
      <c r="E28" s="543"/>
      <c r="F28" s="543"/>
      <c r="G28" s="544"/>
      <c r="H28" s="11">
        <f>(('70 (2)'!H28/(1+Korting!$B$3)*(1-Korting!$B$2)*Prijsmutaties!$G$9))</f>
        <v>63.094528925619827</v>
      </c>
      <c r="I28" s="2"/>
      <c r="J28" s="2"/>
      <c r="K28" s="2"/>
      <c r="L28" s="2"/>
    </row>
    <row r="29" spans="1:12" ht="18.95" customHeight="1">
      <c r="A29" s="539" t="s">
        <v>10</v>
      </c>
      <c r="B29" s="540"/>
      <c r="C29" s="540"/>
      <c r="D29" s="540"/>
      <c r="E29" s="540"/>
      <c r="F29" s="540"/>
      <c r="G29" s="541"/>
      <c r="H29" s="16">
        <f>(('70 (2)'!H29/(1+Korting!$B$3)*(1-Korting!$B$2)*Prijsmutaties!$G$9))</f>
        <v>55.883725619834706</v>
      </c>
      <c r="I29" s="2"/>
      <c r="J29" s="2"/>
      <c r="K29" s="2"/>
      <c r="L29" s="2"/>
    </row>
    <row r="30" spans="1:12" ht="18" customHeight="1">
      <c r="A30" s="542" t="s">
        <v>11</v>
      </c>
      <c r="B30" s="543"/>
      <c r="C30" s="543"/>
      <c r="D30" s="543"/>
      <c r="E30" s="543"/>
      <c r="F30" s="543"/>
      <c r="G30" s="544"/>
      <c r="H30" s="11">
        <f>(('70 (2)'!H30/(1+Korting!$B$3)*(1-Korting!$B$2)*Prijsmutaties!$G$9))</f>
        <v>197.39574049586776</v>
      </c>
      <c r="I30" s="2"/>
      <c r="J30" s="2"/>
      <c r="K30" s="2"/>
      <c r="L30" s="2"/>
    </row>
    <row r="31" spans="1:12" ht="18.600000000000001" customHeight="1">
      <c r="A31" s="539" t="s">
        <v>291</v>
      </c>
      <c r="B31" s="540"/>
      <c r="C31" s="540"/>
      <c r="D31" s="540"/>
      <c r="E31" s="540"/>
      <c r="F31" s="540"/>
      <c r="G31" s="541"/>
      <c r="H31" s="16">
        <f>(('70 (2)'!H31/(1+Korting!$B$3)*(1-Korting!$B$2)*Prijsmutaties!$G$9))</f>
        <v>-51.376973553719004</v>
      </c>
      <c r="I31" s="2"/>
      <c r="J31" s="2"/>
      <c r="K31" s="2"/>
      <c r="L31" s="2"/>
    </row>
    <row r="32" spans="1:12" ht="17.25">
      <c r="B32" s="356" t="s">
        <v>290</v>
      </c>
    </row>
  </sheetData>
  <sheetProtection algorithmName="SHA-512" hashValue="Ea+FsY73yQoxF1UBymd3hMU41GTqsXVyV6hPJ2WnlMSzJSCeU5gQ0tZKJVAQm9KVFRrund08RjoVs713kUqGnQ==" saltValue="BgXRvMMgB5+/6AureQF0OA==" spinCount="100000" sheet="1" objects="1" scenarios="1"/>
  <mergeCells count="11">
    <mergeCell ref="A31:G31"/>
    <mergeCell ref="A27:G27"/>
    <mergeCell ref="A28:G28"/>
    <mergeCell ref="A29:G29"/>
    <mergeCell ref="A30:G30"/>
    <mergeCell ref="A25:H26"/>
    <mergeCell ref="B19:K19"/>
    <mergeCell ref="C20:K20"/>
    <mergeCell ref="A1:L1"/>
    <mergeCell ref="A2:A23"/>
    <mergeCell ref="B11:K11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&amp;L&amp;D&amp;C&amp;F
Tabblad &amp;A&amp;RInkoopprijslijst excl. BTW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ED57-27C9-4247-BA13-AAFF6B40A8A4}">
  <sheetPr codeName="Blad4">
    <tabColor rgb="FF92D050"/>
  </sheetPr>
  <dimension ref="A1:V40"/>
  <sheetViews>
    <sheetView topLeftCell="A13" workbookViewId="0">
      <selection activeCell="L36" sqref="L36:M36"/>
    </sheetView>
  </sheetViews>
  <sheetFormatPr defaultRowHeight="12.75"/>
  <cols>
    <col min="1" max="1" width="2" customWidth="1"/>
    <col min="2" max="2" width="2.5" customWidth="1"/>
    <col min="3" max="3" width="5.83203125" customWidth="1"/>
    <col min="4" max="4" width="6.5" customWidth="1"/>
    <col min="5" max="5" width="6.6640625" customWidth="1"/>
    <col min="6" max="6" width="6.5" customWidth="1"/>
    <col min="7" max="7" width="6.6640625" customWidth="1"/>
    <col min="8" max="9" width="6.5" customWidth="1"/>
    <col min="10" max="11" width="6.6640625" customWidth="1"/>
    <col min="12" max="12" width="6.1640625" customWidth="1"/>
    <col min="13" max="13" width="3.83203125" customWidth="1"/>
    <col min="14" max="14" width="2.6640625" customWidth="1"/>
    <col min="15" max="16" width="6.5" customWidth="1"/>
    <col min="17" max="17" width="6.6640625" customWidth="1"/>
    <col min="18" max="19" width="6.5" customWidth="1"/>
    <col min="20" max="20" width="6.6640625" customWidth="1"/>
    <col min="21" max="21" width="4.6640625" customWidth="1"/>
    <col min="22" max="22" width="17.5" customWidth="1"/>
  </cols>
  <sheetData>
    <row r="1" spans="1:22" ht="42" customHeight="1">
      <c r="A1" s="545" t="s">
        <v>260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  <c r="V1" s="546"/>
    </row>
    <row r="2" spans="1:22" ht="16.5" customHeight="1">
      <c r="A2" s="547"/>
      <c r="B2" s="547"/>
      <c r="C2" s="4" t="s">
        <v>13</v>
      </c>
      <c r="D2" s="39">
        <v>100</v>
      </c>
      <c r="E2" s="5">
        <v>120</v>
      </c>
      <c r="F2" s="40">
        <v>140</v>
      </c>
      <c r="G2" s="40">
        <v>160</v>
      </c>
      <c r="H2" s="40">
        <v>180</v>
      </c>
      <c r="I2" s="40">
        <v>200</v>
      </c>
      <c r="J2" s="5">
        <v>220</v>
      </c>
      <c r="K2" s="5">
        <v>240</v>
      </c>
      <c r="L2" s="39">
        <v>260</v>
      </c>
      <c r="M2" s="548">
        <v>280</v>
      </c>
      <c r="N2" s="549"/>
      <c r="O2" s="5">
        <v>300</v>
      </c>
      <c r="P2" s="5">
        <v>320</v>
      </c>
      <c r="Q2" s="39">
        <v>340</v>
      </c>
      <c r="R2" s="5">
        <v>360</v>
      </c>
      <c r="S2" s="40">
        <v>380</v>
      </c>
      <c r="T2" s="40">
        <v>400</v>
      </c>
      <c r="U2" s="8"/>
    </row>
    <row r="3" spans="1:22" ht="16.5" customHeight="1">
      <c r="A3" s="547"/>
      <c r="B3" s="547"/>
      <c r="C3" s="9">
        <v>100</v>
      </c>
      <c r="D3" s="41">
        <v>360.98020735155518</v>
      </c>
      <c r="E3" s="10">
        <v>388.31291234684261</v>
      </c>
      <c r="F3" s="42">
        <v>409.04806786050898</v>
      </c>
      <c r="G3" s="42">
        <v>440.15080113100851</v>
      </c>
      <c r="H3" s="42">
        <v>464.65598491988692</v>
      </c>
      <c r="I3" s="42">
        <v>487.27615457115928</v>
      </c>
      <c r="J3" s="10">
        <v>514.60885956644677</v>
      </c>
      <c r="K3" s="10">
        <v>540.99905749293123</v>
      </c>
      <c r="L3" s="41">
        <v>559.84919886899149</v>
      </c>
      <c r="M3" s="550">
        <v>591</v>
      </c>
      <c r="N3" s="551"/>
      <c r="O3" s="10">
        <v>613.57210179076344</v>
      </c>
      <c r="P3" s="10">
        <v>637.13477851083883</v>
      </c>
      <c r="Q3" s="41">
        <v>668.23751178133841</v>
      </c>
      <c r="R3" s="10">
        <v>688.97266729500473</v>
      </c>
      <c r="S3" s="42">
        <v>711.59283694627709</v>
      </c>
      <c r="T3" s="42">
        <v>744.58058435438272</v>
      </c>
      <c r="U3" s="43">
        <v>100</v>
      </c>
    </row>
    <row r="4" spans="1:22" ht="16.5" customHeight="1">
      <c r="A4" s="547"/>
      <c r="B4" s="547"/>
      <c r="C4" s="14">
        <v>120</v>
      </c>
      <c r="D4" s="44">
        <v>373.23279924599439</v>
      </c>
      <c r="E4" s="15">
        <v>396.79547596606977</v>
      </c>
      <c r="F4" s="45">
        <v>419.41564561734214</v>
      </c>
      <c r="G4" s="45">
        <v>450.51837888784166</v>
      </c>
      <c r="H4" s="45">
        <v>473.13854853911408</v>
      </c>
      <c r="I4" s="45">
        <v>495.75871819038645</v>
      </c>
      <c r="J4" s="15">
        <v>523.09142318567388</v>
      </c>
      <c r="K4" s="15">
        <v>547.59660697455229</v>
      </c>
      <c r="L4" s="44">
        <v>574.92931196983977</v>
      </c>
      <c r="M4" s="552">
        <v>604</v>
      </c>
      <c r="N4" s="553"/>
      <c r="O4" s="15">
        <v>623.9396795475966</v>
      </c>
      <c r="P4" s="15">
        <v>649.38737040527803</v>
      </c>
      <c r="Q4" s="44">
        <v>673.89255419415645</v>
      </c>
      <c r="R4" s="15">
        <v>703.11027332704998</v>
      </c>
      <c r="S4" s="45">
        <v>725.73044297832234</v>
      </c>
      <c r="T4" s="45">
        <v>754.94816211121588</v>
      </c>
      <c r="U4" s="46">
        <v>120</v>
      </c>
    </row>
    <row r="5" spans="1:22" ht="16.5" customHeight="1">
      <c r="A5" s="547"/>
      <c r="B5" s="547"/>
      <c r="C5" s="9">
        <v>140</v>
      </c>
      <c r="D5" s="41">
        <v>379.8303487276155</v>
      </c>
      <c r="E5" s="10">
        <v>407.16305372290293</v>
      </c>
      <c r="F5" s="42">
        <v>425.07068803016023</v>
      </c>
      <c r="G5" s="42">
        <v>459.00094250706883</v>
      </c>
      <c r="H5" s="42">
        <v>481.62111215834119</v>
      </c>
      <c r="I5" s="42">
        <v>508.01131008482565</v>
      </c>
      <c r="J5" s="10">
        <v>530.63147973609807</v>
      </c>
      <c r="K5" s="10">
        <v>554.19415645617346</v>
      </c>
      <c r="L5" s="41">
        <v>587.18190386427898</v>
      </c>
      <c r="M5" s="550">
        <v>612</v>
      </c>
      <c r="N5" s="551"/>
      <c r="O5" s="10">
        <v>634.30725730442987</v>
      </c>
      <c r="P5" s="10">
        <v>657.86993402450526</v>
      </c>
      <c r="Q5" s="41">
        <v>684.26013195098972</v>
      </c>
      <c r="R5" s="10">
        <v>711.59283694627709</v>
      </c>
      <c r="S5" s="42">
        <v>737.98303487276155</v>
      </c>
      <c r="T5" s="42">
        <v>763.43072573044299</v>
      </c>
      <c r="U5" s="43">
        <v>140</v>
      </c>
    </row>
    <row r="6" spans="1:22" ht="16.5" customHeight="1">
      <c r="A6" s="547"/>
      <c r="B6" s="547"/>
      <c r="C6" s="14">
        <v>160</v>
      </c>
      <c r="D6" s="44">
        <v>396.79547596606977</v>
      </c>
      <c r="E6" s="15">
        <v>421.30065975494819</v>
      </c>
      <c r="F6" s="45">
        <v>459.00094250706883</v>
      </c>
      <c r="G6" s="45">
        <v>479.7360980207352</v>
      </c>
      <c r="H6" s="45">
        <v>506.1262959472196</v>
      </c>
      <c r="I6" s="45">
        <v>535.34401508011308</v>
      </c>
      <c r="J6" s="15">
        <v>557.96418473138556</v>
      </c>
      <c r="K6" s="15">
        <v>590.95193213949108</v>
      </c>
      <c r="L6" s="44">
        <v>613.57210179076344</v>
      </c>
      <c r="M6" s="552">
        <v>647</v>
      </c>
      <c r="N6" s="553"/>
      <c r="O6" s="15">
        <v>670.12252591894446</v>
      </c>
      <c r="P6" s="15">
        <v>694.62770970782287</v>
      </c>
      <c r="Q6" s="44">
        <v>725.73044297832234</v>
      </c>
      <c r="R6" s="15">
        <v>754.94816211121588</v>
      </c>
      <c r="S6" s="45">
        <v>777.56833176248824</v>
      </c>
      <c r="T6" s="45">
        <v>810.55607917059388</v>
      </c>
      <c r="U6" s="46">
        <v>160</v>
      </c>
    </row>
    <row r="7" spans="1:22" ht="16.5" customHeight="1">
      <c r="A7" s="547"/>
      <c r="B7" s="547"/>
      <c r="C7" s="9">
        <v>180</v>
      </c>
      <c r="D7" s="41">
        <v>410.93308199811503</v>
      </c>
      <c r="E7" s="10">
        <v>442.03581526861456</v>
      </c>
      <c r="F7" s="42">
        <v>473.13854853911408</v>
      </c>
      <c r="G7" s="42">
        <v>502.35626767200756</v>
      </c>
      <c r="H7" s="42">
        <v>524.97643732327992</v>
      </c>
      <c r="I7" s="42">
        <v>551.36663524976439</v>
      </c>
      <c r="J7" s="10">
        <v>587.18190386427898</v>
      </c>
      <c r="K7" s="10">
        <v>611.68708765315739</v>
      </c>
      <c r="L7" s="41">
        <v>640.90480678605093</v>
      </c>
      <c r="M7" s="550">
        <v>670</v>
      </c>
      <c r="N7" s="551"/>
      <c r="O7" s="10">
        <v>699.34024505183788</v>
      </c>
      <c r="P7" s="10">
        <v>727.61545711592839</v>
      </c>
      <c r="Q7" s="41">
        <v>758.71819038642798</v>
      </c>
      <c r="R7" s="10">
        <v>786.05089538171535</v>
      </c>
      <c r="S7" s="42">
        <v>815.26861451460888</v>
      </c>
      <c r="T7" s="42">
        <v>839.7737983034873</v>
      </c>
      <c r="U7" s="43">
        <v>180</v>
      </c>
    </row>
    <row r="8" spans="1:22" ht="16.5" customHeight="1">
      <c r="A8" s="547"/>
      <c r="B8" s="547"/>
      <c r="C8" s="14">
        <v>200</v>
      </c>
      <c r="D8" s="44">
        <v>421.30065975494819</v>
      </c>
      <c r="E8" s="15">
        <v>459.00094250706883</v>
      </c>
      <c r="F8" s="45">
        <v>485.39114043355329</v>
      </c>
      <c r="G8" s="45">
        <v>514.60885956644677</v>
      </c>
      <c r="H8" s="45">
        <v>543.8265786993403</v>
      </c>
      <c r="I8" s="45">
        <v>574.92931196983977</v>
      </c>
      <c r="J8" s="15">
        <v>606.03204524033936</v>
      </c>
      <c r="K8" s="15">
        <v>634.30725730442987</v>
      </c>
      <c r="L8" s="44">
        <v>668.23751178133841</v>
      </c>
      <c r="M8" s="552">
        <v>691</v>
      </c>
      <c r="N8" s="553"/>
      <c r="O8" s="15">
        <v>723.84542884071629</v>
      </c>
      <c r="P8" s="15">
        <v>753.06314797360983</v>
      </c>
      <c r="Q8" s="44">
        <v>777.56833176248824</v>
      </c>
      <c r="R8" s="15">
        <v>813.38360037700284</v>
      </c>
      <c r="S8" s="45">
        <v>837.88878416588125</v>
      </c>
      <c r="T8" s="45">
        <v>872.76154571159293</v>
      </c>
      <c r="U8" s="46">
        <v>200</v>
      </c>
    </row>
    <row r="9" spans="1:22" ht="16.5" customHeight="1">
      <c r="A9" s="547"/>
      <c r="B9" s="547"/>
      <c r="C9" s="9">
        <v>220</v>
      </c>
      <c r="D9" s="41">
        <v>459.00094250706883</v>
      </c>
      <c r="E9" s="10">
        <v>485.39114043355329</v>
      </c>
      <c r="F9" s="42">
        <v>520.26390197926492</v>
      </c>
      <c r="G9" s="42">
        <v>549.48162111215834</v>
      </c>
      <c r="H9" s="42">
        <v>587.18190386427898</v>
      </c>
      <c r="I9" s="42">
        <v>616.39962299717251</v>
      </c>
      <c r="J9" s="10">
        <v>649.38737040527803</v>
      </c>
      <c r="K9" s="10">
        <v>684.26013195098972</v>
      </c>
      <c r="L9" s="41">
        <v>711.59283694627709</v>
      </c>
      <c r="M9" s="550">
        <v>753</v>
      </c>
      <c r="N9" s="551"/>
      <c r="O9" s="10">
        <v>779.45334590009429</v>
      </c>
      <c r="P9" s="10">
        <v>815.26861451460888</v>
      </c>
      <c r="Q9" s="41">
        <v>848.25636192271452</v>
      </c>
      <c r="R9" s="10">
        <v>881.24410933082004</v>
      </c>
      <c r="S9" s="18">
        <v>0</v>
      </c>
      <c r="T9" s="18">
        <v>0</v>
      </c>
      <c r="U9" s="43">
        <v>220</v>
      </c>
    </row>
    <row r="10" spans="1:22" ht="16.5" customHeight="1">
      <c r="A10" s="547"/>
      <c r="B10" s="547"/>
      <c r="C10" s="14">
        <v>240</v>
      </c>
      <c r="D10" s="44">
        <v>462.77097078228087</v>
      </c>
      <c r="E10" s="15">
        <v>491.9886899151744</v>
      </c>
      <c r="F10" s="45">
        <v>524.97643732327992</v>
      </c>
      <c r="G10" s="45">
        <v>557.96418473138556</v>
      </c>
      <c r="H10" s="45">
        <v>595.6644674835062</v>
      </c>
      <c r="I10" s="45">
        <v>628.65221489161172</v>
      </c>
      <c r="J10" s="15">
        <v>657.86993402450526</v>
      </c>
      <c r="K10" s="15">
        <v>694.62770970782287</v>
      </c>
      <c r="L10" s="44">
        <v>727.61545711592839</v>
      </c>
      <c r="M10" s="552">
        <v>763</v>
      </c>
      <c r="N10" s="553"/>
      <c r="O10" s="15">
        <v>794.53345900094257</v>
      </c>
      <c r="P10" s="15">
        <v>827.52120640904809</v>
      </c>
      <c r="Q10" s="8">
        <v>0</v>
      </c>
      <c r="R10" s="8">
        <v>0</v>
      </c>
      <c r="S10" s="8">
        <v>0</v>
      </c>
      <c r="T10" s="8">
        <v>0</v>
      </c>
      <c r="U10" s="46">
        <v>240</v>
      </c>
    </row>
    <row r="11" spans="1:22" ht="16.5" customHeight="1">
      <c r="A11" s="547"/>
      <c r="B11" s="547"/>
      <c r="C11" s="9">
        <v>260</v>
      </c>
      <c r="D11" s="41">
        <v>487.27615457115928</v>
      </c>
      <c r="E11" s="10">
        <v>523.09142318567388</v>
      </c>
      <c r="F11" s="42">
        <v>557.96418473138556</v>
      </c>
      <c r="G11" s="42">
        <v>603.20452403393028</v>
      </c>
      <c r="H11" s="42">
        <v>634.30725730442987</v>
      </c>
      <c r="I11" s="42">
        <v>670.12252591894446</v>
      </c>
      <c r="J11" s="10">
        <v>706.88030160226208</v>
      </c>
      <c r="K11" s="10">
        <v>748.35061262959471</v>
      </c>
      <c r="L11" s="41">
        <v>777.56833176248824</v>
      </c>
      <c r="M11" s="550">
        <v>819</v>
      </c>
      <c r="N11" s="551"/>
      <c r="O11" s="10">
        <v>854.85391140433558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43">
        <v>260</v>
      </c>
    </row>
    <row r="12" spans="1:22" ht="16.5" customHeight="1">
      <c r="A12" s="547"/>
      <c r="B12" s="547"/>
      <c r="C12" s="19">
        <v>280</v>
      </c>
      <c r="D12" s="47">
        <v>495.75871819038645</v>
      </c>
      <c r="E12" s="20">
        <v>535.34401508011308</v>
      </c>
      <c r="F12" s="48">
        <v>568.33176248821871</v>
      </c>
      <c r="G12" s="48">
        <v>609.80207351555146</v>
      </c>
      <c r="H12" s="48">
        <v>647.5023562676721</v>
      </c>
      <c r="I12" s="48">
        <v>682.37511781338367</v>
      </c>
      <c r="J12" s="20">
        <v>715.36286522148919</v>
      </c>
      <c r="K12" s="20">
        <v>756.83317624882193</v>
      </c>
      <c r="L12" s="47">
        <v>792.64844486333652</v>
      </c>
      <c r="M12" s="554">
        <v>828</v>
      </c>
      <c r="N12" s="555"/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49">
        <v>280</v>
      </c>
    </row>
    <row r="13" spans="1:22" ht="15.6" customHeight="1">
      <c r="A13" s="547"/>
      <c r="B13" s="547"/>
      <c r="C13" s="533"/>
      <c r="D13" s="533"/>
      <c r="E13" s="533"/>
      <c r="F13" s="533"/>
      <c r="G13" s="533"/>
      <c r="H13" s="533"/>
      <c r="I13" s="533"/>
      <c r="J13" s="533"/>
      <c r="K13" s="533"/>
      <c r="L13" s="533"/>
      <c r="M13" s="533"/>
      <c r="N13" s="533"/>
      <c r="O13" s="533"/>
      <c r="P13" s="533"/>
      <c r="Q13" s="533"/>
      <c r="R13" s="533"/>
      <c r="S13" s="533"/>
      <c r="T13" s="533"/>
      <c r="U13" s="533"/>
    </row>
    <row r="14" spans="1:22" ht="16.5" customHeight="1">
      <c r="A14" s="547"/>
      <c r="B14" s="547"/>
      <c r="C14" s="25" t="s">
        <v>13</v>
      </c>
      <c r="D14" s="50">
        <v>100</v>
      </c>
      <c r="E14" s="26">
        <v>120</v>
      </c>
      <c r="F14" s="51">
        <v>140</v>
      </c>
      <c r="G14" s="51">
        <v>160</v>
      </c>
      <c r="H14" s="51">
        <v>180</v>
      </c>
      <c r="I14" s="51">
        <v>200</v>
      </c>
      <c r="J14" s="26">
        <v>220</v>
      </c>
      <c r="K14" s="26">
        <v>240</v>
      </c>
      <c r="L14" s="50">
        <v>260</v>
      </c>
      <c r="M14" s="556">
        <v>280</v>
      </c>
      <c r="N14" s="557"/>
      <c r="O14" s="26">
        <v>300</v>
      </c>
      <c r="P14" s="26">
        <v>320</v>
      </c>
      <c r="Q14" s="50">
        <v>340</v>
      </c>
      <c r="R14" s="26">
        <v>360</v>
      </c>
      <c r="S14" s="51">
        <v>380</v>
      </c>
      <c r="T14" s="51">
        <v>400</v>
      </c>
      <c r="U14" s="29"/>
    </row>
    <row r="15" spans="1:22" ht="16.5" customHeight="1">
      <c r="A15" s="547"/>
      <c r="B15" s="547"/>
      <c r="C15" s="9">
        <v>100</v>
      </c>
      <c r="D15" s="41">
        <v>557.96418473138556</v>
      </c>
      <c r="E15" s="10">
        <v>590.95193213949108</v>
      </c>
      <c r="F15" s="42">
        <v>609.80207351555146</v>
      </c>
      <c r="G15" s="42">
        <v>637.13477851083883</v>
      </c>
      <c r="H15" s="42">
        <v>661.63996229971724</v>
      </c>
      <c r="I15" s="42">
        <v>688.97266729500473</v>
      </c>
      <c r="J15" s="10">
        <v>711.59283694627709</v>
      </c>
      <c r="K15" s="10">
        <v>744.58058435438272</v>
      </c>
      <c r="L15" s="41">
        <v>763.43072573044299</v>
      </c>
      <c r="M15" s="550">
        <v>788</v>
      </c>
      <c r="N15" s="551"/>
      <c r="O15" s="10">
        <v>815.26861451460888</v>
      </c>
      <c r="P15" s="10">
        <v>836.00377002827531</v>
      </c>
      <c r="Q15" s="41">
        <v>868.99151743638083</v>
      </c>
      <c r="R15" s="10">
        <v>889.72667295004715</v>
      </c>
      <c r="S15" s="42">
        <v>914.23185673892556</v>
      </c>
      <c r="T15" s="42">
        <v>939.67954759660699</v>
      </c>
      <c r="U15" s="43">
        <v>100</v>
      </c>
    </row>
    <row r="16" spans="1:22" ht="16.5" customHeight="1">
      <c r="A16" s="547"/>
      <c r="B16" s="547"/>
      <c r="C16" s="14">
        <v>120</v>
      </c>
      <c r="D16" s="44">
        <v>572.10179076343081</v>
      </c>
      <c r="E16" s="15">
        <v>597.54948162111214</v>
      </c>
      <c r="F16" s="45">
        <v>620.16965127238461</v>
      </c>
      <c r="G16" s="45">
        <v>649.38737040527803</v>
      </c>
      <c r="H16" s="45">
        <v>672.00754005655051</v>
      </c>
      <c r="I16" s="45">
        <v>694.62770970782287</v>
      </c>
      <c r="J16" s="15">
        <v>717.24787935909524</v>
      </c>
      <c r="K16" s="15">
        <v>751.17813383600378</v>
      </c>
      <c r="L16" s="44">
        <v>773.79830348727614</v>
      </c>
      <c r="M16" s="552">
        <v>801</v>
      </c>
      <c r="N16" s="553"/>
      <c r="O16" s="15">
        <v>820.92365692742703</v>
      </c>
      <c r="P16" s="15">
        <v>848.25636192271452</v>
      </c>
      <c r="Q16" s="44">
        <v>875.58906691800189</v>
      </c>
      <c r="R16" s="15">
        <v>903.8642789820924</v>
      </c>
      <c r="S16" s="45">
        <v>922.71442035815278</v>
      </c>
      <c r="T16" s="45">
        <v>951.9321394910462</v>
      </c>
      <c r="U16" s="46">
        <v>120</v>
      </c>
    </row>
    <row r="17" spans="1:22" ht="16.5" customHeight="1">
      <c r="A17" s="547"/>
      <c r="B17" s="547"/>
      <c r="C17" s="9">
        <v>140</v>
      </c>
      <c r="D17" s="41">
        <v>576.81432610744582</v>
      </c>
      <c r="E17" s="10">
        <v>607.91705937794541</v>
      </c>
      <c r="F17" s="42">
        <v>628.65221489161172</v>
      </c>
      <c r="G17" s="42">
        <v>653.15739868049013</v>
      </c>
      <c r="H17" s="42">
        <v>682.37511781338367</v>
      </c>
      <c r="I17" s="42">
        <v>706.88030160226208</v>
      </c>
      <c r="J17" s="10">
        <v>732.32799245994352</v>
      </c>
      <c r="K17" s="10">
        <v>756.83317624882193</v>
      </c>
      <c r="L17" s="41">
        <v>786.05089538171535</v>
      </c>
      <c r="M17" s="550">
        <v>813</v>
      </c>
      <c r="N17" s="551"/>
      <c r="O17" s="10">
        <v>834.11875589066926</v>
      </c>
      <c r="P17" s="10">
        <v>858.62393967954768</v>
      </c>
      <c r="Q17" s="41">
        <v>881.24410933082004</v>
      </c>
      <c r="R17" s="10">
        <v>914.23185673892556</v>
      </c>
      <c r="S17" s="42">
        <v>934.96701225259199</v>
      </c>
      <c r="T17" s="42">
        <v>962.29971724787936</v>
      </c>
      <c r="U17" s="43">
        <v>140</v>
      </c>
    </row>
    <row r="18" spans="1:22" ht="16.5" customHeight="1">
      <c r="A18" s="547"/>
      <c r="B18" s="547"/>
      <c r="C18" s="14">
        <v>160</v>
      </c>
      <c r="D18" s="44">
        <v>597.54948162111214</v>
      </c>
      <c r="E18" s="15">
        <v>623.9396795475966</v>
      </c>
      <c r="F18" s="45">
        <v>653.15739868049013</v>
      </c>
      <c r="G18" s="45">
        <v>675.7775683317625</v>
      </c>
      <c r="H18" s="45">
        <v>704.99528746465603</v>
      </c>
      <c r="I18" s="45">
        <v>737.98303487276155</v>
      </c>
      <c r="J18" s="15">
        <v>758.71819038642798</v>
      </c>
      <c r="K18" s="15">
        <v>787.9359095193214</v>
      </c>
      <c r="L18" s="44">
        <v>815.26861451460888</v>
      </c>
      <c r="M18" s="552">
        <v>842</v>
      </c>
      <c r="N18" s="553"/>
      <c r="O18" s="15">
        <v>870.87653157398688</v>
      </c>
      <c r="P18" s="15">
        <v>896.32422243166832</v>
      </c>
      <c r="Q18" s="44">
        <v>922.71442035815278</v>
      </c>
      <c r="R18" s="15">
        <v>951.9321394910462</v>
      </c>
      <c r="S18" s="45">
        <v>979.26484448633369</v>
      </c>
      <c r="T18" s="52">
        <v>1010.3675777568333</v>
      </c>
      <c r="U18" s="46">
        <v>160</v>
      </c>
    </row>
    <row r="19" spans="1:22" ht="16.5" customHeight="1">
      <c r="A19" s="547"/>
      <c r="B19" s="547"/>
      <c r="C19" s="9">
        <v>180</v>
      </c>
      <c r="D19" s="41">
        <v>611.68708765315739</v>
      </c>
      <c r="E19" s="10">
        <v>640.90480678605093</v>
      </c>
      <c r="F19" s="42">
        <v>672.00754005655051</v>
      </c>
      <c r="G19" s="42">
        <v>699.34024505183788</v>
      </c>
      <c r="H19" s="42">
        <v>723.84542884071629</v>
      </c>
      <c r="I19" s="42">
        <v>754.94816211121588</v>
      </c>
      <c r="J19" s="10">
        <v>786.05089538171535</v>
      </c>
      <c r="K19" s="10">
        <v>813.38360037700284</v>
      </c>
      <c r="L19" s="41">
        <v>837.88878416588125</v>
      </c>
      <c r="M19" s="550">
        <v>871</v>
      </c>
      <c r="N19" s="551"/>
      <c r="O19" s="10">
        <v>900.0942507068803</v>
      </c>
      <c r="P19" s="10">
        <v>929.31196983977384</v>
      </c>
      <c r="Q19" s="41">
        <v>960.41470311027342</v>
      </c>
      <c r="R19" s="10">
        <v>983.03487276154578</v>
      </c>
      <c r="S19" s="53">
        <v>1016.0226201696513</v>
      </c>
      <c r="T19" s="53">
        <v>1043.3553251649389</v>
      </c>
      <c r="U19" s="43">
        <v>180</v>
      </c>
    </row>
    <row r="20" spans="1:22" ht="16.5" customHeight="1">
      <c r="A20" s="547"/>
      <c r="B20" s="547"/>
      <c r="C20" s="14">
        <v>200</v>
      </c>
      <c r="D20" s="44">
        <v>623.9396795475966</v>
      </c>
      <c r="E20" s="15">
        <v>653.15739868049013</v>
      </c>
      <c r="F20" s="45">
        <v>686.14514608859565</v>
      </c>
      <c r="G20" s="45">
        <v>711.59283694627709</v>
      </c>
      <c r="H20" s="45">
        <v>746.46559849198877</v>
      </c>
      <c r="I20" s="45">
        <v>773.79830348727614</v>
      </c>
      <c r="J20" s="15">
        <v>803.01602262016968</v>
      </c>
      <c r="K20" s="15">
        <v>834.11875589066926</v>
      </c>
      <c r="L20" s="44">
        <v>868.99151743638083</v>
      </c>
      <c r="M20" s="552">
        <v>892</v>
      </c>
      <c r="N20" s="553"/>
      <c r="O20" s="15">
        <v>920.82940622054673</v>
      </c>
      <c r="P20" s="15">
        <v>950.04712535344015</v>
      </c>
      <c r="Q20" s="44">
        <v>979.26484448633369</v>
      </c>
      <c r="R20" s="15">
        <v>1012.2525918944392</v>
      </c>
      <c r="S20" s="52">
        <v>1040.5278039585298</v>
      </c>
      <c r="T20" s="52">
        <v>1074.4580584354383</v>
      </c>
      <c r="U20" s="46">
        <v>200</v>
      </c>
    </row>
    <row r="21" spans="1:22" ht="16.5" customHeight="1">
      <c r="A21" s="547"/>
      <c r="B21" s="547"/>
      <c r="C21" s="54">
        <v>220</v>
      </c>
      <c r="D21" s="55">
        <v>653.15739868049013</v>
      </c>
      <c r="E21" s="56">
        <v>686.14514608859565</v>
      </c>
      <c r="F21" s="57">
        <v>715.36286522148919</v>
      </c>
      <c r="G21" s="57">
        <v>753.06314797360983</v>
      </c>
      <c r="H21" s="57">
        <v>786.05089538171535</v>
      </c>
      <c r="I21" s="57">
        <v>817.15362865221493</v>
      </c>
      <c r="J21" s="56">
        <v>848.25636192271452</v>
      </c>
      <c r="K21" s="56">
        <v>881.24410933082004</v>
      </c>
      <c r="L21" s="55">
        <v>914.23185673892556</v>
      </c>
      <c r="M21" s="558">
        <v>950</v>
      </c>
      <c r="N21" s="559"/>
      <c r="O21" s="56">
        <v>981.14985862393974</v>
      </c>
      <c r="P21" s="56">
        <v>1016.0226201696513</v>
      </c>
      <c r="Q21" s="58">
        <v>1047.1253534401508</v>
      </c>
      <c r="R21" s="56">
        <v>1081.9981149858625</v>
      </c>
      <c r="S21" s="59">
        <v>0</v>
      </c>
      <c r="T21" s="59">
        <v>0</v>
      </c>
      <c r="U21" s="60">
        <v>220</v>
      </c>
    </row>
    <row r="22" spans="1:22" ht="16.5" customHeight="1">
      <c r="A22" s="547"/>
      <c r="B22" s="547"/>
      <c r="C22" s="61">
        <v>240</v>
      </c>
      <c r="D22" s="62">
        <v>657.86993402450526</v>
      </c>
      <c r="E22" s="63">
        <v>692.74269557021682</v>
      </c>
      <c r="F22" s="64">
        <v>723.84542884071629</v>
      </c>
      <c r="G22" s="64">
        <v>758.71819038642798</v>
      </c>
      <c r="H22" s="64">
        <v>794.53345900094257</v>
      </c>
      <c r="I22" s="64">
        <v>827.52120640904809</v>
      </c>
      <c r="J22" s="63">
        <v>858.62393967954768</v>
      </c>
      <c r="K22" s="63">
        <v>896.32422243166832</v>
      </c>
      <c r="L22" s="62">
        <v>929.31196983977384</v>
      </c>
      <c r="M22" s="560">
        <v>962</v>
      </c>
      <c r="N22" s="561"/>
      <c r="O22" s="63">
        <v>991.51743638077289</v>
      </c>
      <c r="P22" s="63">
        <v>1032.9877474081056</v>
      </c>
      <c r="Q22" s="65">
        <v>0</v>
      </c>
      <c r="R22" s="65">
        <v>0</v>
      </c>
      <c r="S22" s="65">
        <v>0</v>
      </c>
      <c r="T22" s="65">
        <v>0</v>
      </c>
      <c r="U22" s="66">
        <v>240</v>
      </c>
    </row>
    <row r="23" spans="1:22" ht="16.5" customHeight="1">
      <c r="A23" s="547"/>
      <c r="B23" s="562"/>
      <c r="C23" s="67">
        <v>260</v>
      </c>
      <c r="D23" s="41">
        <v>688.97266729500473</v>
      </c>
      <c r="E23" s="10">
        <v>717.24787935909524</v>
      </c>
      <c r="F23" s="42">
        <v>758.71819038642798</v>
      </c>
      <c r="G23" s="42">
        <v>800.1885014137606</v>
      </c>
      <c r="H23" s="42">
        <v>834.11875589066926</v>
      </c>
      <c r="I23" s="42">
        <v>870.87653157398688</v>
      </c>
      <c r="J23" s="10">
        <v>910.46182846371357</v>
      </c>
      <c r="K23" s="10">
        <v>943.44957587181909</v>
      </c>
      <c r="L23" s="41">
        <v>979.26484448633369</v>
      </c>
      <c r="M23" s="550">
        <v>1020</v>
      </c>
      <c r="N23" s="551"/>
      <c r="O23" s="10">
        <v>1055.607917059378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68">
        <v>260</v>
      </c>
    </row>
    <row r="24" spans="1:22" ht="16.5" customHeight="1">
      <c r="A24" s="547"/>
      <c r="B24" s="562"/>
      <c r="C24" s="69">
        <v>280</v>
      </c>
      <c r="D24" s="70">
        <v>694.62770970782287</v>
      </c>
      <c r="E24" s="71">
        <v>737.98303487276155</v>
      </c>
      <c r="F24" s="72">
        <v>769.08576814326113</v>
      </c>
      <c r="G24" s="72">
        <v>810.55607917059388</v>
      </c>
      <c r="H24" s="72">
        <v>841.65881244109335</v>
      </c>
      <c r="I24" s="72">
        <v>879.35909519321399</v>
      </c>
      <c r="J24" s="71">
        <v>917.05937794533463</v>
      </c>
      <c r="K24" s="71">
        <v>953.81715362865225</v>
      </c>
      <c r="L24" s="70">
        <v>989.63242224316684</v>
      </c>
      <c r="M24" s="563">
        <v>1033</v>
      </c>
      <c r="N24" s="564"/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4">
        <v>280</v>
      </c>
    </row>
    <row r="25" spans="1:22" ht="15.95" customHeight="1">
      <c r="A25" s="547"/>
      <c r="B25" s="562"/>
      <c r="C25" s="565"/>
      <c r="D25" s="565"/>
      <c r="E25" s="565"/>
      <c r="F25" s="565"/>
      <c r="G25" s="565"/>
      <c r="H25" s="565"/>
      <c r="I25" s="565"/>
      <c r="J25" s="565"/>
      <c r="K25" s="565"/>
      <c r="L25" s="565"/>
      <c r="M25" s="565"/>
      <c r="N25" s="565"/>
      <c r="O25" s="565"/>
      <c r="P25" s="565"/>
      <c r="Q25" s="565"/>
      <c r="R25" s="565"/>
      <c r="S25" s="565"/>
      <c r="T25" s="565"/>
      <c r="U25" s="565"/>
    </row>
    <row r="26" spans="1:22" ht="16.5" customHeight="1">
      <c r="A26" s="547"/>
      <c r="B26" s="562"/>
      <c r="C26" s="30"/>
      <c r="D26" s="534" t="s">
        <v>3</v>
      </c>
      <c r="E26" s="535"/>
      <c r="F26" s="535"/>
      <c r="G26" s="535"/>
      <c r="H26" s="535"/>
      <c r="I26" s="535"/>
      <c r="J26" s="535"/>
      <c r="K26" s="536"/>
      <c r="L26" s="75"/>
      <c r="M26" s="566"/>
      <c r="N26" s="567"/>
      <c r="O26" s="75"/>
      <c r="P26" s="75"/>
      <c r="Q26" s="75"/>
      <c r="R26" s="75"/>
      <c r="S26" s="75"/>
      <c r="T26" s="75"/>
      <c r="U26" s="75"/>
    </row>
    <row r="27" spans="1:22" ht="16.5" customHeight="1">
      <c r="A27" s="547"/>
      <c r="B27" s="562"/>
      <c r="C27" s="31" t="s">
        <v>4</v>
      </c>
      <c r="D27" s="76">
        <v>100</v>
      </c>
      <c r="E27" s="13">
        <v>120</v>
      </c>
      <c r="F27" s="77">
        <v>140</v>
      </c>
      <c r="G27" s="77">
        <v>160</v>
      </c>
      <c r="H27" s="77">
        <v>180</v>
      </c>
      <c r="I27" s="77">
        <v>200</v>
      </c>
      <c r="J27" s="13">
        <v>220</v>
      </c>
      <c r="K27" s="13">
        <v>240</v>
      </c>
      <c r="L27" s="76">
        <v>260</v>
      </c>
      <c r="M27" s="568">
        <v>280</v>
      </c>
      <c r="N27" s="569"/>
      <c r="O27" s="13">
        <v>300</v>
      </c>
      <c r="P27" s="13">
        <v>320</v>
      </c>
      <c r="Q27" s="76">
        <v>340</v>
      </c>
      <c r="R27" s="13">
        <v>360</v>
      </c>
      <c r="S27" s="77">
        <v>380</v>
      </c>
      <c r="T27" s="77">
        <v>400</v>
      </c>
      <c r="U27" s="18"/>
    </row>
    <row r="28" spans="1:22" ht="16.5" customHeight="1">
      <c r="A28" s="547"/>
      <c r="B28" s="562"/>
      <c r="C28" s="34" t="s">
        <v>5</v>
      </c>
      <c r="D28" s="44">
        <v>203.58152686145147</v>
      </c>
      <c r="E28" s="15">
        <v>203.58152686145147</v>
      </c>
      <c r="F28" s="45">
        <v>203.58152686145147</v>
      </c>
      <c r="G28" s="45">
        <v>203.58152686145147</v>
      </c>
      <c r="H28" s="45">
        <v>203.58152686145147</v>
      </c>
      <c r="I28" s="45">
        <v>262.01696512723845</v>
      </c>
      <c r="J28" s="15">
        <v>262.01696512723845</v>
      </c>
      <c r="K28" s="15">
        <v>262.01696512723845</v>
      </c>
      <c r="L28" s="44">
        <v>262.01696512723845</v>
      </c>
      <c r="M28" s="552">
        <v>262.02</v>
      </c>
      <c r="N28" s="553"/>
      <c r="O28" s="15">
        <v>319.50989632422244</v>
      </c>
      <c r="P28" s="15">
        <v>319.50989632422244</v>
      </c>
      <c r="Q28" s="44">
        <v>319.50989632422244</v>
      </c>
      <c r="R28" s="15">
        <v>319.50989632422244</v>
      </c>
      <c r="S28" s="45">
        <v>319.50989632422244</v>
      </c>
      <c r="T28" s="45">
        <v>377.94533459000945</v>
      </c>
      <c r="U28" s="8"/>
    </row>
    <row r="29" spans="1:22" ht="16.5" customHeight="1">
      <c r="A29" s="547"/>
      <c r="B29" s="562"/>
      <c r="C29" s="31" t="s">
        <v>6</v>
      </c>
      <c r="D29" s="41">
        <v>101.79076343072573</v>
      </c>
      <c r="E29" s="10">
        <v>101.79076343072573</v>
      </c>
      <c r="F29" s="42">
        <v>101.79076343072573</v>
      </c>
      <c r="G29" s="42">
        <v>101.79076343072573</v>
      </c>
      <c r="H29" s="42">
        <v>101.79076343072573</v>
      </c>
      <c r="I29" s="42">
        <v>131.00848256361922</v>
      </c>
      <c r="J29" s="10">
        <v>131.00848256361922</v>
      </c>
      <c r="K29" s="10">
        <v>131.00848256361922</v>
      </c>
      <c r="L29" s="41">
        <v>131.00848256361922</v>
      </c>
      <c r="M29" s="550">
        <v>131.01</v>
      </c>
      <c r="N29" s="551"/>
      <c r="O29" s="10">
        <v>159.75494816211122</v>
      </c>
      <c r="P29" s="10">
        <v>159.75494816211122</v>
      </c>
      <c r="Q29" s="41">
        <v>159.75494816211122</v>
      </c>
      <c r="R29" s="10">
        <v>159.75494816211122</v>
      </c>
      <c r="S29" s="42">
        <v>159.75494816211122</v>
      </c>
      <c r="T29" s="42">
        <v>188.97266729500473</v>
      </c>
      <c r="U29" s="18"/>
    </row>
    <row r="30" spans="1:22" ht="15.95" customHeight="1">
      <c r="A30" s="78"/>
      <c r="B30" s="79"/>
      <c r="C30" s="570"/>
      <c r="D30" s="570"/>
      <c r="E30" s="570"/>
      <c r="F30" s="570"/>
      <c r="G30" s="570"/>
      <c r="H30" s="570"/>
      <c r="I30" s="570"/>
      <c r="J30" s="570"/>
      <c r="K30" s="570"/>
      <c r="L30" s="570"/>
      <c r="M30" s="570"/>
      <c r="N30" s="570"/>
      <c r="O30" s="570"/>
      <c r="P30" s="570"/>
      <c r="Q30" s="570"/>
      <c r="R30" s="570"/>
      <c r="S30" s="570"/>
      <c r="T30" s="570"/>
      <c r="U30" s="570"/>
    </row>
    <row r="31" spans="1:22" ht="17.850000000000001" customHeight="1">
      <c r="A31" s="546" t="s">
        <v>14</v>
      </c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46"/>
      <c r="P31" s="546"/>
      <c r="Q31" s="546"/>
      <c r="R31" s="546"/>
      <c r="S31" s="546"/>
      <c r="T31" s="546"/>
      <c r="U31" s="546"/>
      <c r="V31" s="546"/>
    </row>
    <row r="32" spans="1:22" ht="17.100000000000001" customHeight="1">
      <c r="A32" s="571" t="s">
        <v>7</v>
      </c>
      <c r="B32" s="571"/>
      <c r="C32" s="571"/>
      <c r="D32" s="571"/>
      <c r="E32" s="571"/>
      <c r="F32" s="571"/>
      <c r="G32" s="571"/>
      <c r="H32" s="571"/>
      <c r="I32" s="571"/>
      <c r="J32" s="571"/>
      <c r="K32" s="571"/>
      <c r="L32" s="571"/>
      <c r="M32" s="571"/>
    </row>
    <row r="33" spans="1:13" ht="17.100000000000001" customHeight="1">
      <c r="A33" s="539" t="s">
        <v>294</v>
      </c>
      <c r="B33" s="540"/>
      <c r="C33" s="540"/>
      <c r="D33" s="540"/>
      <c r="E33" s="540"/>
      <c r="F33" s="540"/>
      <c r="G33" s="540"/>
      <c r="H33" s="540"/>
      <c r="I33" s="540"/>
      <c r="J33" s="540"/>
      <c r="K33" s="541"/>
      <c r="L33" s="572">
        <v>274</v>
      </c>
      <c r="M33" s="573"/>
    </row>
    <row r="34" spans="1:13" ht="18.2" customHeight="1">
      <c r="A34" s="539" t="s">
        <v>15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1"/>
      <c r="L34" s="572">
        <v>90</v>
      </c>
      <c r="M34" s="573"/>
    </row>
    <row r="35" spans="1:13" ht="18.2" customHeight="1">
      <c r="A35" s="574" t="s">
        <v>295</v>
      </c>
      <c r="B35" s="543"/>
      <c r="C35" s="543"/>
      <c r="D35" s="543"/>
      <c r="E35" s="543"/>
      <c r="F35" s="543"/>
      <c r="G35" s="543"/>
      <c r="H35" s="543"/>
      <c r="I35" s="543"/>
      <c r="J35" s="543"/>
      <c r="K35" s="544"/>
      <c r="L35" s="575">
        <v>182.5</v>
      </c>
      <c r="M35" s="576"/>
    </row>
    <row r="36" spans="1:13" ht="18.2" customHeight="1">
      <c r="A36" s="542" t="s">
        <v>16</v>
      </c>
      <c r="B36" s="543"/>
      <c r="C36" s="543"/>
      <c r="D36" s="543"/>
      <c r="E36" s="543"/>
      <c r="F36" s="543"/>
      <c r="G36" s="543"/>
      <c r="H36" s="543"/>
      <c r="I36" s="543"/>
      <c r="J36" s="543"/>
      <c r="K36" s="544"/>
      <c r="L36" s="575">
        <v>197</v>
      </c>
      <c r="M36" s="576"/>
    </row>
    <row r="37" spans="1:13" ht="18.2" customHeight="1">
      <c r="A37" s="539" t="s">
        <v>10</v>
      </c>
      <c r="B37" s="540"/>
      <c r="C37" s="540"/>
      <c r="D37" s="540"/>
      <c r="E37" s="540"/>
      <c r="F37" s="540"/>
      <c r="G37" s="540"/>
      <c r="H37" s="540"/>
      <c r="I37" s="540"/>
      <c r="J37" s="540"/>
      <c r="K37" s="541"/>
      <c r="L37" s="572">
        <v>62</v>
      </c>
      <c r="M37" s="573"/>
    </row>
    <row r="38" spans="1:13" ht="18.2" customHeight="1">
      <c r="A38" s="542" t="s">
        <v>17</v>
      </c>
      <c r="B38" s="543"/>
      <c r="C38" s="543"/>
      <c r="D38" s="543"/>
      <c r="E38" s="543"/>
      <c r="F38" s="543"/>
      <c r="G38" s="543"/>
      <c r="H38" s="543"/>
      <c r="I38" s="543"/>
      <c r="J38" s="543"/>
      <c r="K38" s="544"/>
      <c r="L38" s="575">
        <v>274</v>
      </c>
      <c r="M38" s="576"/>
    </row>
    <row r="39" spans="1:13" ht="18.2" customHeight="1">
      <c r="A39" s="542" t="s">
        <v>9</v>
      </c>
      <c r="B39" s="543"/>
      <c r="C39" s="543"/>
      <c r="D39" s="543"/>
      <c r="E39" s="543"/>
      <c r="F39" s="543"/>
      <c r="G39" s="543"/>
      <c r="H39" s="543"/>
      <c r="I39" s="543"/>
      <c r="J39" s="543"/>
      <c r="K39" s="544"/>
      <c r="L39" s="575">
        <v>70</v>
      </c>
      <c r="M39" s="576"/>
    </row>
    <row r="40" spans="1:13" ht="18.2" customHeight="1">
      <c r="A40" s="539" t="s">
        <v>12</v>
      </c>
      <c r="B40" s="540"/>
      <c r="C40" s="540"/>
      <c r="D40" s="540"/>
      <c r="E40" s="540"/>
      <c r="F40" s="540"/>
      <c r="G40" s="540"/>
      <c r="H40" s="540"/>
      <c r="I40" s="540"/>
      <c r="J40" s="540"/>
      <c r="K40" s="541"/>
      <c r="L40" s="572">
        <v>-57</v>
      </c>
      <c r="M40" s="573"/>
    </row>
  </sheetData>
  <mergeCells count="52">
    <mergeCell ref="A38:K38"/>
    <mergeCell ref="L38:M38"/>
    <mergeCell ref="A39:K39"/>
    <mergeCell ref="L39:M39"/>
    <mergeCell ref="A40:K40"/>
    <mergeCell ref="L40:M40"/>
    <mergeCell ref="A35:K35"/>
    <mergeCell ref="L35:M35"/>
    <mergeCell ref="A36:K36"/>
    <mergeCell ref="L36:M36"/>
    <mergeCell ref="A37:K37"/>
    <mergeCell ref="L37:M37"/>
    <mergeCell ref="C30:U30"/>
    <mergeCell ref="A31:V31"/>
    <mergeCell ref="A32:M32"/>
    <mergeCell ref="A34:K34"/>
    <mergeCell ref="L34:M34"/>
    <mergeCell ref="A33:K33"/>
    <mergeCell ref="L33:M33"/>
    <mergeCell ref="M19:N19"/>
    <mergeCell ref="M21:N21"/>
    <mergeCell ref="M22:N22"/>
    <mergeCell ref="B23:B29"/>
    <mergeCell ref="M23:N23"/>
    <mergeCell ref="M24:N24"/>
    <mergeCell ref="C25:U25"/>
    <mergeCell ref="D26:K26"/>
    <mergeCell ref="M26:N26"/>
    <mergeCell ref="M27:N27"/>
    <mergeCell ref="M28:N28"/>
    <mergeCell ref="M29:N29"/>
    <mergeCell ref="M14:N14"/>
    <mergeCell ref="M15:N15"/>
    <mergeCell ref="M16:N16"/>
    <mergeCell ref="M17:N17"/>
    <mergeCell ref="M18:N18"/>
    <mergeCell ref="A1:V1"/>
    <mergeCell ref="A2:A29"/>
    <mergeCell ref="B2:B22"/>
    <mergeCell ref="M2:N2"/>
    <mergeCell ref="M3:N3"/>
    <mergeCell ref="M4:N4"/>
    <mergeCell ref="M5:N5"/>
    <mergeCell ref="M6:N6"/>
    <mergeCell ref="M7:N7"/>
    <mergeCell ref="M8:N8"/>
    <mergeCell ref="M20:N20"/>
    <mergeCell ref="M9:N9"/>
    <mergeCell ref="M10:N10"/>
    <mergeCell ref="M11:N11"/>
    <mergeCell ref="M12:N12"/>
    <mergeCell ref="C13:U1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8E86-8FA4-40B3-A7CB-67E7B8A734AD}">
  <sheetPr codeName="Blad5">
    <tabColor rgb="FF92D050"/>
    <pageSetUpPr fitToPage="1"/>
  </sheetPr>
  <dimension ref="A1:M31"/>
  <sheetViews>
    <sheetView topLeftCell="A10" workbookViewId="0">
      <selection activeCell="H31" sqref="H31"/>
    </sheetView>
  </sheetViews>
  <sheetFormatPr defaultRowHeight="12.75"/>
  <cols>
    <col min="1" max="1" width="4.1640625" customWidth="1"/>
    <col min="2" max="2" width="9.83203125" customWidth="1"/>
    <col min="3" max="4" width="10" customWidth="1"/>
    <col min="5" max="5" width="9.83203125" customWidth="1"/>
    <col min="6" max="6" width="10" customWidth="1"/>
    <col min="7" max="7" width="9.83203125" customWidth="1"/>
    <col min="8" max="8" width="10" customWidth="1"/>
    <col min="9" max="9" width="9.83203125" customWidth="1"/>
    <col min="10" max="10" width="5.1640625" customWidth="1"/>
    <col min="11" max="11" width="4.83203125" customWidth="1"/>
    <col min="12" max="12" width="9.83203125" customWidth="1"/>
    <col min="13" max="13" width="24" customWidth="1"/>
  </cols>
  <sheetData>
    <row r="1" spans="1:13" ht="45.75" customHeight="1">
      <c r="A1" s="537" t="s">
        <v>0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</row>
    <row r="2" spans="1:13" ht="18.95" customHeight="1">
      <c r="A2" s="577" t="s">
        <v>1</v>
      </c>
      <c r="B2" s="4" t="s">
        <v>2</v>
      </c>
      <c r="C2" s="5">
        <v>100</v>
      </c>
      <c r="D2" s="5">
        <v>120</v>
      </c>
      <c r="E2" s="5">
        <v>140</v>
      </c>
      <c r="F2" s="6">
        <v>160</v>
      </c>
      <c r="G2" s="7">
        <v>180</v>
      </c>
      <c r="H2" s="7">
        <v>200</v>
      </c>
      <c r="I2" s="6">
        <v>220</v>
      </c>
      <c r="J2" s="578">
        <v>240</v>
      </c>
      <c r="K2" s="579"/>
      <c r="L2" s="8"/>
      <c r="M2" s="2"/>
    </row>
    <row r="3" spans="1:13" ht="18" customHeight="1">
      <c r="A3" s="577"/>
      <c r="B3" s="9">
        <v>100</v>
      </c>
      <c r="C3" s="10">
        <v>319.50989632422244</v>
      </c>
      <c r="D3" s="10">
        <v>338.36003770028276</v>
      </c>
      <c r="E3" s="10">
        <v>362.86522148916117</v>
      </c>
      <c r="F3" s="11">
        <v>383.60037700282754</v>
      </c>
      <c r="G3" s="12">
        <v>404.33553251649391</v>
      </c>
      <c r="H3" s="12">
        <v>421.30065975494819</v>
      </c>
      <c r="I3" s="11">
        <v>448.63336475023567</v>
      </c>
      <c r="J3" s="580">
        <v>469</v>
      </c>
      <c r="K3" s="581"/>
      <c r="L3" s="13">
        <v>100</v>
      </c>
      <c r="M3" s="2"/>
    </row>
    <row r="4" spans="1:13" ht="18" customHeight="1">
      <c r="A4" s="577"/>
      <c r="B4" s="14">
        <v>120</v>
      </c>
      <c r="C4" s="15">
        <v>327.9924599434496</v>
      </c>
      <c r="D4" s="15">
        <v>348.72761545711597</v>
      </c>
      <c r="E4" s="15">
        <v>371.34778510838834</v>
      </c>
      <c r="F4" s="16">
        <v>390.19792648444866</v>
      </c>
      <c r="G4" s="17">
        <v>410.93308199811503</v>
      </c>
      <c r="H4" s="17">
        <v>427.8982092365693</v>
      </c>
      <c r="I4" s="16">
        <v>459.00094250706883</v>
      </c>
      <c r="J4" s="582">
        <v>477</v>
      </c>
      <c r="K4" s="583"/>
      <c r="L4" s="5">
        <v>120</v>
      </c>
      <c r="M4" s="2"/>
    </row>
    <row r="5" spans="1:13" ht="18" customHeight="1">
      <c r="A5" s="577"/>
      <c r="B5" s="9">
        <v>140</v>
      </c>
      <c r="C5" s="10">
        <v>338.36003770028276</v>
      </c>
      <c r="D5" s="10">
        <v>359.09519321394913</v>
      </c>
      <c r="E5" s="10">
        <v>379.8303487276155</v>
      </c>
      <c r="F5" s="11">
        <v>396.79547596606977</v>
      </c>
      <c r="G5" s="12">
        <v>417.53063147973614</v>
      </c>
      <c r="H5" s="12">
        <v>445.8058435438266</v>
      </c>
      <c r="I5" s="11">
        <v>464.65598491988692</v>
      </c>
      <c r="J5" s="580">
        <v>486</v>
      </c>
      <c r="K5" s="581"/>
      <c r="L5" s="13">
        <v>140</v>
      </c>
      <c r="M5" s="2"/>
    </row>
    <row r="6" spans="1:13" ht="18" customHeight="1">
      <c r="A6" s="577"/>
      <c r="B6" s="14">
        <v>160</v>
      </c>
      <c r="C6" s="15">
        <v>352.49764373232802</v>
      </c>
      <c r="D6" s="15">
        <v>373.23279924599439</v>
      </c>
      <c r="E6" s="15">
        <v>396.79547596606977</v>
      </c>
      <c r="F6" s="16">
        <v>419.41564561734214</v>
      </c>
      <c r="G6" s="17">
        <v>448.63336475023567</v>
      </c>
      <c r="H6" s="17">
        <v>469.36852026390198</v>
      </c>
      <c r="I6" s="16">
        <v>490.10367577756836</v>
      </c>
      <c r="J6" s="582">
        <v>515</v>
      </c>
      <c r="K6" s="583"/>
      <c r="L6" s="5">
        <v>160</v>
      </c>
      <c r="M6" s="2"/>
    </row>
    <row r="7" spans="1:13" ht="18" customHeight="1">
      <c r="A7" s="577"/>
      <c r="B7" s="9">
        <v>180</v>
      </c>
      <c r="C7" s="10">
        <v>365.69274269557025</v>
      </c>
      <c r="D7" s="10">
        <v>392.08294062205471</v>
      </c>
      <c r="E7" s="10">
        <v>414.70311027332707</v>
      </c>
      <c r="F7" s="11">
        <v>445.8058435438266</v>
      </c>
      <c r="G7" s="12">
        <v>469.36852026390198</v>
      </c>
      <c r="H7" s="12">
        <v>490.10367577756836</v>
      </c>
      <c r="I7" s="11">
        <v>514.60885956644677</v>
      </c>
      <c r="J7" s="580">
        <v>544</v>
      </c>
      <c r="K7" s="581"/>
      <c r="L7" s="13">
        <v>180</v>
      </c>
      <c r="M7" s="2"/>
    </row>
    <row r="8" spans="1:13" ht="18.95" customHeight="1">
      <c r="A8" s="577"/>
      <c r="B8" s="14">
        <v>200</v>
      </c>
      <c r="C8" s="15">
        <v>383.60037700282754</v>
      </c>
      <c r="D8" s="15">
        <v>407.16305372290293</v>
      </c>
      <c r="E8" s="15">
        <v>427.8982092365693</v>
      </c>
      <c r="F8" s="16">
        <v>462.77097078228087</v>
      </c>
      <c r="G8" s="17">
        <v>485.39114043355329</v>
      </c>
      <c r="H8" s="17">
        <v>512.72384542884072</v>
      </c>
      <c r="I8" s="16">
        <v>540.99905749293123</v>
      </c>
      <c r="J8" s="582">
        <v>560</v>
      </c>
      <c r="K8" s="583"/>
      <c r="L8" s="5">
        <v>200</v>
      </c>
      <c r="M8" s="2"/>
    </row>
    <row r="9" spans="1:13" ht="18" customHeight="1">
      <c r="A9" s="577"/>
      <c r="B9" s="9">
        <v>220</v>
      </c>
      <c r="C9" s="10">
        <v>407.16305372290293</v>
      </c>
      <c r="D9" s="10">
        <v>440.15080113100851</v>
      </c>
      <c r="E9" s="10">
        <v>469.36852026390198</v>
      </c>
      <c r="F9" s="11">
        <v>495.75871819038645</v>
      </c>
      <c r="G9" s="12">
        <v>524.97643732327992</v>
      </c>
      <c r="H9" s="12">
        <v>551.36663524976439</v>
      </c>
      <c r="I9" s="11">
        <v>587.18190386427898</v>
      </c>
      <c r="J9" s="584"/>
      <c r="K9" s="585"/>
      <c r="L9" s="13">
        <v>220</v>
      </c>
      <c r="M9" s="2"/>
    </row>
    <row r="10" spans="1:13" ht="18" customHeight="1">
      <c r="A10" s="577"/>
      <c r="B10" s="19">
        <v>240</v>
      </c>
      <c r="C10" s="20">
        <v>410.93308199811503</v>
      </c>
      <c r="D10" s="20">
        <v>448.63336475023567</v>
      </c>
      <c r="E10" s="20">
        <v>476.90857681432612</v>
      </c>
      <c r="F10" s="21">
        <v>504.24128180961361</v>
      </c>
      <c r="G10" s="22">
        <v>535.34401508011308</v>
      </c>
      <c r="H10" s="22">
        <v>559.84919886899149</v>
      </c>
      <c r="I10" s="23">
        <v>0</v>
      </c>
      <c r="J10" s="588"/>
      <c r="K10" s="589"/>
      <c r="L10" s="24">
        <v>240</v>
      </c>
      <c r="M10" s="2"/>
    </row>
    <row r="11" spans="1:13" ht="18.95" customHeight="1">
      <c r="A11" s="577"/>
      <c r="B11" s="533"/>
      <c r="C11" s="533"/>
      <c r="D11" s="533"/>
      <c r="E11" s="533"/>
      <c r="F11" s="533"/>
      <c r="G11" s="533"/>
      <c r="H11" s="533"/>
      <c r="I11" s="533"/>
      <c r="J11" s="533"/>
      <c r="K11" s="533"/>
      <c r="L11" s="533"/>
      <c r="M11" s="2"/>
    </row>
    <row r="12" spans="1:13" ht="18.95" customHeight="1">
      <c r="A12" s="577"/>
      <c r="B12" s="25" t="s">
        <v>2</v>
      </c>
      <c r="C12" s="26">
        <v>100</v>
      </c>
      <c r="D12" s="26">
        <v>120</v>
      </c>
      <c r="E12" s="26">
        <v>140</v>
      </c>
      <c r="F12" s="27">
        <v>160</v>
      </c>
      <c r="G12" s="28">
        <v>180</v>
      </c>
      <c r="H12" s="28">
        <v>200</v>
      </c>
      <c r="I12" s="27">
        <v>220</v>
      </c>
      <c r="J12" s="590">
        <v>240</v>
      </c>
      <c r="K12" s="591"/>
      <c r="L12" s="29"/>
      <c r="M12" s="2"/>
    </row>
    <row r="13" spans="1:13" ht="18" customHeight="1">
      <c r="A13" s="577"/>
      <c r="B13" s="9">
        <v>100</v>
      </c>
      <c r="C13" s="10">
        <v>520.26390197926492</v>
      </c>
      <c r="D13" s="10">
        <v>537.22902921771913</v>
      </c>
      <c r="E13" s="10">
        <v>559.84919886899149</v>
      </c>
      <c r="F13" s="11">
        <v>585.29688972667293</v>
      </c>
      <c r="G13" s="12">
        <v>606.03204524033936</v>
      </c>
      <c r="H13" s="12">
        <v>623.9396795475966</v>
      </c>
      <c r="I13" s="11">
        <v>647.5023562676721</v>
      </c>
      <c r="J13" s="580">
        <v>668</v>
      </c>
      <c r="K13" s="581"/>
      <c r="L13" s="13">
        <v>100</v>
      </c>
      <c r="M13" s="2"/>
    </row>
    <row r="14" spans="1:13" ht="18" customHeight="1">
      <c r="A14" s="577"/>
      <c r="B14" s="14">
        <v>120</v>
      </c>
      <c r="C14" s="15">
        <v>528.74646559849202</v>
      </c>
      <c r="D14" s="15">
        <v>547.59660697455229</v>
      </c>
      <c r="E14" s="15">
        <v>568.33176248821871</v>
      </c>
      <c r="F14" s="16">
        <v>592.83694627709713</v>
      </c>
      <c r="G14" s="17">
        <v>611.68708765315739</v>
      </c>
      <c r="H14" s="17">
        <v>632.42224316682382</v>
      </c>
      <c r="I14" s="16">
        <v>653.15739868049013</v>
      </c>
      <c r="J14" s="582">
        <v>674</v>
      </c>
      <c r="K14" s="583"/>
      <c r="L14" s="5">
        <v>120</v>
      </c>
      <c r="M14" s="2"/>
    </row>
    <row r="15" spans="1:13" ht="18" customHeight="1">
      <c r="A15" s="577"/>
      <c r="B15" s="9">
        <v>140</v>
      </c>
      <c r="C15" s="10">
        <v>537.22902921771913</v>
      </c>
      <c r="D15" s="10">
        <v>554.19415645617346</v>
      </c>
      <c r="E15" s="10">
        <v>576.81432610744582</v>
      </c>
      <c r="F15" s="11">
        <v>597.54948162111214</v>
      </c>
      <c r="G15" s="12">
        <v>616.39962299717251</v>
      </c>
      <c r="H15" s="12">
        <v>644.67483506126302</v>
      </c>
      <c r="I15" s="11">
        <v>661.63996229971724</v>
      </c>
      <c r="J15" s="580">
        <v>687</v>
      </c>
      <c r="K15" s="581"/>
      <c r="L15" s="13">
        <v>140</v>
      </c>
      <c r="M15" s="2"/>
    </row>
    <row r="16" spans="1:13" ht="18" customHeight="1">
      <c r="A16" s="577"/>
      <c r="B16" s="14">
        <v>160</v>
      </c>
      <c r="C16" s="15">
        <v>549.48162111215834</v>
      </c>
      <c r="D16" s="15">
        <v>572.10179076343081</v>
      </c>
      <c r="E16" s="15">
        <v>597.54948162111214</v>
      </c>
      <c r="F16" s="16">
        <v>620.16965127238461</v>
      </c>
      <c r="G16" s="17">
        <v>647.5023562676721</v>
      </c>
      <c r="H16" s="17">
        <v>668.23751178133841</v>
      </c>
      <c r="I16" s="16">
        <v>690.85768143261078</v>
      </c>
      <c r="J16" s="582">
        <v>711</v>
      </c>
      <c r="K16" s="583"/>
      <c r="L16" s="5">
        <v>160</v>
      </c>
      <c r="M16" s="2"/>
    </row>
    <row r="17" spans="1:13" ht="18.95" customHeight="1">
      <c r="A17" s="577"/>
      <c r="B17" s="9">
        <v>180</v>
      </c>
      <c r="C17" s="10">
        <v>561.73421300659754</v>
      </c>
      <c r="D17" s="10">
        <v>595.6644674835062</v>
      </c>
      <c r="E17" s="10">
        <v>613.57210179076344</v>
      </c>
      <c r="F17" s="11">
        <v>644.67483506126302</v>
      </c>
      <c r="G17" s="12">
        <v>668.23751178133841</v>
      </c>
      <c r="H17" s="12">
        <v>690.85768143261078</v>
      </c>
      <c r="I17" s="11">
        <v>711.59283694627709</v>
      </c>
      <c r="J17" s="580">
        <v>747</v>
      </c>
      <c r="K17" s="581"/>
      <c r="L17" s="13">
        <v>180</v>
      </c>
      <c r="M17" s="2"/>
    </row>
    <row r="18" spans="1:13" ht="18" customHeight="1">
      <c r="A18" s="577"/>
      <c r="B18" s="19">
        <v>200</v>
      </c>
      <c r="C18" s="20">
        <v>585.29688972667293</v>
      </c>
      <c r="D18" s="20">
        <v>607.91705937794541</v>
      </c>
      <c r="E18" s="20">
        <v>632.42224316682382</v>
      </c>
      <c r="F18" s="21">
        <v>657.86993402450526</v>
      </c>
      <c r="G18" s="22">
        <v>686.14514608859565</v>
      </c>
      <c r="H18" s="22">
        <v>709.70782280867115</v>
      </c>
      <c r="I18" s="21">
        <v>744.58058435438272</v>
      </c>
      <c r="J18" s="592">
        <v>763</v>
      </c>
      <c r="K18" s="593"/>
      <c r="L18" s="24">
        <v>200</v>
      </c>
      <c r="M18" s="2"/>
    </row>
    <row r="19" spans="1:13" ht="18.95" customHeight="1">
      <c r="A19" s="577"/>
      <c r="B19" s="533"/>
      <c r="C19" s="533"/>
      <c r="D19" s="533"/>
      <c r="E19" s="533"/>
      <c r="F19" s="533"/>
      <c r="G19" s="533"/>
      <c r="H19" s="533"/>
      <c r="I19" s="533"/>
      <c r="J19" s="533"/>
      <c r="K19" s="533"/>
      <c r="L19" s="533"/>
      <c r="M19" s="2"/>
    </row>
    <row r="20" spans="1:13" ht="18" customHeight="1">
      <c r="A20" s="577"/>
      <c r="B20" s="30"/>
      <c r="C20" s="534" t="s">
        <v>3</v>
      </c>
      <c r="D20" s="535"/>
      <c r="E20" s="535"/>
      <c r="F20" s="535"/>
      <c r="G20" s="535"/>
      <c r="H20" s="535"/>
      <c r="I20" s="535"/>
      <c r="J20" s="535"/>
      <c r="K20" s="535"/>
      <c r="L20" s="536"/>
      <c r="M20" s="2"/>
    </row>
    <row r="21" spans="1:13" ht="18.95" customHeight="1">
      <c r="A21" s="577"/>
      <c r="B21" s="31" t="s">
        <v>4</v>
      </c>
      <c r="C21" s="13">
        <v>100</v>
      </c>
      <c r="D21" s="13">
        <v>120</v>
      </c>
      <c r="E21" s="13">
        <v>140</v>
      </c>
      <c r="F21" s="32">
        <v>160</v>
      </c>
      <c r="G21" s="33">
        <v>180</v>
      </c>
      <c r="H21" s="33">
        <v>200</v>
      </c>
      <c r="I21" s="32">
        <v>220</v>
      </c>
      <c r="J21" s="586">
        <v>240</v>
      </c>
      <c r="K21" s="587"/>
      <c r="L21" s="18"/>
      <c r="M21" s="2"/>
    </row>
    <row r="22" spans="1:13" ht="18" customHeight="1">
      <c r="A22" s="577"/>
      <c r="B22" s="34" t="s">
        <v>5</v>
      </c>
      <c r="C22" s="15">
        <v>204</v>
      </c>
      <c r="D22" s="15">
        <v>204</v>
      </c>
      <c r="E22" s="15">
        <v>204</v>
      </c>
      <c r="F22" s="16">
        <v>204</v>
      </c>
      <c r="G22" s="17">
        <v>204</v>
      </c>
      <c r="H22" s="17">
        <v>262</v>
      </c>
      <c r="I22" s="16">
        <v>262</v>
      </c>
      <c r="J22" s="582">
        <v>262</v>
      </c>
      <c r="K22" s="583"/>
      <c r="L22" s="8"/>
      <c r="M22" s="2"/>
    </row>
    <row r="23" spans="1:13" ht="18" customHeight="1">
      <c r="A23" s="577"/>
      <c r="B23" s="31" t="s">
        <v>6</v>
      </c>
      <c r="C23" s="10">
        <v>102</v>
      </c>
      <c r="D23" s="10">
        <v>102</v>
      </c>
      <c r="E23" s="10">
        <v>102</v>
      </c>
      <c r="F23" s="11">
        <v>102</v>
      </c>
      <c r="G23" s="12">
        <v>102</v>
      </c>
      <c r="H23" s="12">
        <v>131</v>
      </c>
      <c r="I23" s="11">
        <v>131</v>
      </c>
      <c r="J23" s="580">
        <v>131</v>
      </c>
      <c r="K23" s="581"/>
      <c r="L23" s="18"/>
      <c r="M23" s="2"/>
    </row>
    <row r="24" spans="1:13" ht="17.4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594">
        <v>76</v>
      </c>
      <c r="L24" s="594"/>
      <c r="M24" s="594"/>
    </row>
    <row r="25" spans="1:13" ht="5.25" customHeight="1">
      <c r="A25" s="531" t="s">
        <v>7</v>
      </c>
      <c r="B25" s="531"/>
      <c r="C25" s="531"/>
      <c r="D25" s="531"/>
      <c r="E25" s="531"/>
      <c r="F25" s="531"/>
      <c r="G25" s="531"/>
      <c r="H25" s="531"/>
      <c r="I25" s="2"/>
      <c r="J25" s="2"/>
      <c r="K25" s="594"/>
      <c r="L25" s="594"/>
      <c r="M25" s="594"/>
    </row>
    <row r="26" spans="1:13" ht="14.1" customHeight="1">
      <c r="A26" s="532"/>
      <c r="B26" s="532"/>
      <c r="C26" s="532"/>
      <c r="D26" s="532"/>
      <c r="E26" s="532"/>
      <c r="F26" s="532"/>
      <c r="G26" s="532"/>
      <c r="H26" s="532"/>
      <c r="I26" s="2"/>
      <c r="J26" s="2"/>
      <c r="K26" s="2"/>
      <c r="L26" s="2"/>
      <c r="M26" s="2"/>
    </row>
    <row r="27" spans="1:13" ht="18" customHeight="1">
      <c r="A27" s="539" t="s">
        <v>8</v>
      </c>
      <c r="B27" s="540"/>
      <c r="C27" s="540"/>
      <c r="D27" s="540"/>
      <c r="E27" s="540"/>
      <c r="F27" s="540"/>
      <c r="G27" s="541"/>
      <c r="H27" s="36">
        <v>188</v>
      </c>
      <c r="I27" s="2"/>
      <c r="J27" s="2"/>
      <c r="K27" s="2"/>
      <c r="L27" s="2"/>
      <c r="M27" s="2"/>
    </row>
    <row r="28" spans="1:13" ht="18" customHeight="1">
      <c r="A28" s="542" t="s">
        <v>9</v>
      </c>
      <c r="B28" s="543"/>
      <c r="C28" s="543"/>
      <c r="D28" s="543"/>
      <c r="E28" s="543"/>
      <c r="F28" s="543"/>
      <c r="G28" s="544"/>
      <c r="H28" s="38">
        <v>70</v>
      </c>
      <c r="I28" s="2"/>
      <c r="J28" s="2"/>
      <c r="K28" s="2"/>
      <c r="L28" s="2"/>
      <c r="M28" s="2"/>
    </row>
    <row r="29" spans="1:13" ht="18.95" customHeight="1">
      <c r="A29" s="542" t="s">
        <v>10</v>
      </c>
      <c r="B29" s="543"/>
      <c r="C29" s="543"/>
      <c r="D29" s="543"/>
      <c r="E29" s="543"/>
      <c r="F29" s="543"/>
      <c r="G29" s="544"/>
      <c r="H29" s="38">
        <v>62</v>
      </c>
      <c r="I29" s="2"/>
      <c r="J29" s="2"/>
      <c r="K29" s="2"/>
      <c r="L29" s="2"/>
      <c r="M29" s="2"/>
    </row>
    <row r="30" spans="1:13" ht="18" customHeight="1">
      <c r="A30" s="539" t="s">
        <v>11</v>
      </c>
      <c r="B30" s="540"/>
      <c r="C30" s="540"/>
      <c r="D30" s="540"/>
      <c r="E30" s="540"/>
      <c r="F30" s="540"/>
      <c r="G30" s="541"/>
      <c r="H30" s="36">
        <v>219</v>
      </c>
      <c r="I30" s="2"/>
      <c r="J30" s="2"/>
      <c r="K30" s="2"/>
      <c r="L30" s="2"/>
      <c r="M30" s="2"/>
    </row>
    <row r="31" spans="1:13" ht="18.600000000000001" customHeight="1">
      <c r="A31" s="542" t="s">
        <v>12</v>
      </c>
      <c r="B31" s="543"/>
      <c r="C31" s="543"/>
      <c r="D31" s="543"/>
      <c r="E31" s="543"/>
      <c r="F31" s="543"/>
      <c r="G31" s="544"/>
      <c r="H31" s="38">
        <v>-57</v>
      </c>
      <c r="I31" s="2"/>
      <c r="J31" s="2"/>
      <c r="K31" s="2"/>
      <c r="L31" s="2"/>
      <c r="M31" s="2"/>
    </row>
  </sheetData>
  <mergeCells count="31">
    <mergeCell ref="C20:L20"/>
    <mergeCell ref="A29:G29"/>
    <mergeCell ref="A30:G30"/>
    <mergeCell ref="A31:G31"/>
    <mergeCell ref="J22:K22"/>
    <mergeCell ref="J23:K23"/>
    <mergeCell ref="K24:M25"/>
    <mergeCell ref="A25:H26"/>
    <mergeCell ref="A27:G27"/>
    <mergeCell ref="A28:G28"/>
    <mergeCell ref="J15:K15"/>
    <mergeCell ref="J16:K16"/>
    <mergeCell ref="J17:K17"/>
    <mergeCell ref="J18:K18"/>
    <mergeCell ref="B19:L19"/>
    <mergeCell ref="A1:M1"/>
    <mergeCell ref="A2:A23"/>
    <mergeCell ref="J2:K2"/>
    <mergeCell ref="J3:K3"/>
    <mergeCell ref="J4:K4"/>
    <mergeCell ref="J5:K5"/>
    <mergeCell ref="J6:K6"/>
    <mergeCell ref="J7:K7"/>
    <mergeCell ref="J8:K8"/>
    <mergeCell ref="J9:K9"/>
    <mergeCell ref="J21:K21"/>
    <mergeCell ref="J10:K10"/>
    <mergeCell ref="B11:L11"/>
    <mergeCell ref="J12:K12"/>
    <mergeCell ref="J13:K13"/>
    <mergeCell ref="J14:K14"/>
  </mergeCells>
  <pageMargins left="0.7" right="0.7" top="0.75" bottom="0.75" header="0.3" footer="0.3"/>
  <pageSetup paperSize="9" scale="7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Blad6">
    <tabColor rgb="FF92D050"/>
    <pageSetUpPr fitToPage="1"/>
  </sheetPr>
  <dimension ref="A1:U42"/>
  <sheetViews>
    <sheetView workbookViewId="0">
      <selection sqref="A1:U1"/>
    </sheetView>
  </sheetViews>
  <sheetFormatPr defaultRowHeight="12.75"/>
  <cols>
    <col min="1" max="1" width="4.83203125" customWidth="1"/>
    <col min="2" max="2" width="0.33203125" customWidth="1"/>
    <col min="3" max="3" width="5.83203125" customWidth="1"/>
    <col min="4" max="4" width="6.5" customWidth="1"/>
    <col min="5" max="5" width="6.6640625" customWidth="1"/>
    <col min="6" max="6" width="6.5" customWidth="1"/>
    <col min="7" max="7" width="6.6640625" customWidth="1"/>
    <col min="8" max="9" width="6.5" customWidth="1"/>
    <col min="10" max="11" width="6.6640625" customWidth="1"/>
    <col min="12" max="13" width="6.1640625" customWidth="1"/>
    <col min="14" max="15" width="6.5" customWidth="1"/>
    <col min="16" max="16" width="6.6640625" customWidth="1"/>
    <col min="17" max="18" width="6.5" customWidth="1"/>
    <col min="19" max="19" width="6.6640625" customWidth="1"/>
    <col min="20" max="20" width="4.6640625" customWidth="1"/>
    <col min="21" max="21" width="17.5" customWidth="1"/>
  </cols>
  <sheetData>
    <row r="1" spans="1:21" ht="66" customHeight="1">
      <c r="A1" s="545" t="s">
        <v>275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</row>
    <row r="2" spans="1:21" ht="16.5" customHeight="1">
      <c r="A2" s="598" t="s">
        <v>274</v>
      </c>
      <c r="B2" s="547"/>
      <c r="C2" s="4" t="s">
        <v>13</v>
      </c>
      <c r="D2" s="5">
        <v>100</v>
      </c>
      <c r="E2" s="5">
        <v>120</v>
      </c>
      <c r="F2" s="5">
        <v>140</v>
      </c>
      <c r="G2" s="5">
        <v>160</v>
      </c>
      <c r="H2" s="5">
        <v>180</v>
      </c>
      <c r="I2" s="5">
        <v>200</v>
      </c>
      <c r="J2" s="5">
        <v>220</v>
      </c>
      <c r="K2" s="5">
        <v>240</v>
      </c>
      <c r="L2" s="5">
        <v>260</v>
      </c>
      <c r="M2" s="188">
        <v>280</v>
      </c>
      <c r="N2" s="5">
        <v>300</v>
      </c>
      <c r="O2" s="5">
        <v>320</v>
      </c>
      <c r="P2" s="5">
        <v>340</v>
      </c>
      <c r="Q2" s="5">
        <v>360</v>
      </c>
      <c r="R2" s="5">
        <v>380</v>
      </c>
      <c r="S2" s="5">
        <v>400</v>
      </c>
      <c r="T2" s="226"/>
    </row>
    <row r="3" spans="1:21" ht="16.5" customHeight="1">
      <c r="A3" s="538"/>
      <c r="B3" s="547"/>
      <c r="C3" s="9">
        <v>100</v>
      </c>
      <c r="D3" s="10">
        <f>(('85&amp;100 (2)'!D3/(1+Korting!$B$3)*(1-Korting!$B$2)*Prijsmutaties!$B$9))</f>
        <v>350.61008727545448</v>
      </c>
      <c r="E3" s="10">
        <f>(('85&amp;100 (2)'!E3/(1+Korting!$B$3)*(1-Korting!$B$2)*Prijsmutaties!$B$9))</f>
        <v>377.15758735636354</v>
      </c>
      <c r="F3" s="10">
        <f>(('85&amp;100 (2)'!F3/(1+Korting!$B$3)*(1-Korting!$B$2)*Prijsmutaties!$B$9))</f>
        <v>397.29707017636355</v>
      </c>
      <c r="G3" s="10">
        <f>(('85&amp;100 (2)'!G3/(1+Korting!$B$3)*(1-Korting!$B$2)*Prijsmutaties!$B$9))</f>
        <v>427.50629440636351</v>
      </c>
      <c r="H3" s="10">
        <f>(('85&amp;100 (2)'!H3/(1+Korting!$B$3)*(1-Korting!$B$2)*Prijsmutaties!$B$9))</f>
        <v>451.30750137545442</v>
      </c>
      <c r="I3" s="10">
        <f>(('85&amp;100 (2)'!I3/(1+Korting!$B$3)*(1-Korting!$B$2)*Prijsmutaties!$B$9))</f>
        <v>473.27784626999988</v>
      </c>
      <c r="J3" s="10">
        <f>(('85&amp;100 (2)'!J3/(1+Korting!$B$3)*(1-Korting!$B$2)*Prijsmutaties!$B$9))</f>
        <v>499.825346350909</v>
      </c>
      <c r="K3" s="10">
        <f>(('85&amp;100 (2)'!K3/(1+Korting!$B$3)*(1-Korting!$B$2)*Prijsmutaties!$B$9))</f>
        <v>525.45741539454536</v>
      </c>
      <c r="L3" s="10">
        <f>(('85&amp;100 (2)'!L3/(1+Korting!$B$3)*(1-Korting!$B$2)*Prijsmutaties!$B$9))</f>
        <v>543.76603613999987</v>
      </c>
      <c r="M3" s="189">
        <f>(('85&amp;100 (2)'!M3/(1+Korting!$B$3)*(1-Korting!$B$2)*Prijsmutaties!$B$9))</f>
        <v>574.02194735290072</v>
      </c>
      <c r="N3" s="10">
        <f>(('85&amp;100 (2)'!O3/(1+Korting!$B$3)*(1-Korting!$B$2)*Prijsmutaties!$B$9))</f>
        <v>595.94560526454529</v>
      </c>
      <c r="O3" s="10">
        <f>(('85&amp;100 (2)'!P3/(1+Korting!$B$3)*(1-Korting!$B$2)*Prijsmutaties!$B$9))</f>
        <v>618.8313811963634</v>
      </c>
      <c r="P3" s="10">
        <f>(('85&amp;100 (2)'!Q3/(1+Korting!$B$3)*(1-Korting!$B$2)*Prijsmutaties!$B$9))</f>
        <v>649.04060542636341</v>
      </c>
      <c r="Q3" s="10">
        <f>(('85&amp;100 (2)'!R3/(1+Korting!$B$3)*(1-Korting!$B$2)*Prijsmutaties!$B$9))</f>
        <v>669.18008824636354</v>
      </c>
      <c r="R3" s="10">
        <f>(('85&amp;100 (2)'!S3/(1+Korting!$B$3)*(1-Korting!$B$2)*Prijsmutaties!$B$9))</f>
        <v>691.15043314090894</v>
      </c>
      <c r="S3" s="10">
        <f>(('85&amp;100 (2)'!T3/(1+Korting!$B$3)*(1-Korting!$B$2)*Prijsmutaties!$B$9))</f>
        <v>723.19051944545447</v>
      </c>
      <c r="T3" s="13">
        <v>100</v>
      </c>
    </row>
    <row r="4" spans="1:21" ht="16.5" customHeight="1">
      <c r="A4" s="538"/>
      <c r="B4" s="547"/>
      <c r="C4" s="14">
        <v>120</v>
      </c>
      <c r="D4" s="15">
        <f>(('85&amp;100 (2)'!D4/(1+Korting!$B$3)*(1-Korting!$B$2)*Prijsmutaties!$B$9))</f>
        <v>362.51069075999993</v>
      </c>
      <c r="E4" s="15">
        <f>(('85&amp;100 (2)'!E4/(1+Korting!$B$3)*(1-Korting!$B$2)*Prijsmutaties!$B$9))</f>
        <v>385.39646669181809</v>
      </c>
      <c r="F4" s="15">
        <f>(('85&amp;100 (2)'!F4/(1+Korting!$B$3)*(1-Korting!$B$2)*Prijsmutaties!$B$9))</f>
        <v>407.3668115863635</v>
      </c>
      <c r="G4" s="15">
        <f>(('85&amp;100 (2)'!G4/(1+Korting!$B$3)*(1-Korting!$B$2)*Prijsmutaties!$B$9))</f>
        <v>437.57603581636357</v>
      </c>
      <c r="H4" s="15">
        <f>(('85&amp;100 (2)'!H4/(1+Korting!$B$3)*(1-Korting!$B$2)*Prijsmutaties!$B$9))</f>
        <v>459.54638071090898</v>
      </c>
      <c r="I4" s="15">
        <f>(('85&amp;100 (2)'!I4/(1+Korting!$B$3)*(1-Korting!$B$2)*Prijsmutaties!$B$9))</f>
        <v>481.5167256054545</v>
      </c>
      <c r="J4" s="15">
        <f>(('85&amp;100 (2)'!J4/(1+Korting!$B$3)*(1-Korting!$B$2)*Prijsmutaties!$B$9))</f>
        <v>508.06422568636344</v>
      </c>
      <c r="K4" s="15">
        <f>(('85&amp;100 (2)'!K4/(1+Korting!$B$3)*(1-Korting!$B$2)*Prijsmutaties!$B$9))</f>
        <v>531.86543265545436</v>
      </c>
      <c r="L4" s="15">
        <f>(('85&amp;100 (2)'!L4/(1+Korting!$B$3)*(1-Korting!$B$2)*Prijsmutaties!$B$9))</f>
        <v>558.41293273636347</v>
      </c>
      <c r="M4" s="190">
        <f>(('85&amp;100 (2)'!M4/(1+Korting!$B$3)*(1-Korting!$B$2)*Prijsmutaties!$B$9))</f>
        <v>586.64848765000352</v>
      </c>
      <c r="N4" s="15">
        <f>(('85&amp;100 (2)'!O4/(1+Korting!$B$3)*(1-Korting!$B$2)*Prijsmutaties!$B$9))</f>
        <v>606.0153466745453</v>
      </c>
      <c r="O4" s="15">
        <f>(('85&amp;100 (2)'!P4/(1+Korting!$B$3)*(1-Korting!$B$2)*Prijsmutaties!$B$9))</f>
        <v>630.73198468090891</v>
      </c>
      <c r="P4" s="15">
        <f>(('85&amp;100 (2)'!Q4/(1+Korting!$B$3)*(1-Korting!$B$2)*Prijsmutaties!$B$9))</f>
        <v>654.53319164999982</v>
      </c>
      <c r="Q4" s="15">
        <f>(('85&amp;100 (2)'!R4/(1+Korting!$B$3)*(1-Korting!$B$2)*Prijsmutaties!$B$9))</f>
        <v>682.91155380545433</v>
      </c>
      <c r="R4" s="15">
        <f>(('85&amp;100 (2)'!S4/(1+Korting!$B$3)*(1-Korting!$B$2)*Prijsmutaties!$B$9))</f>
        <v>704.88189869999985</v>
      </c>
      <c r="S4" s="15">
        <f>(('85&amp;100 (2)'!T4/(1+Korting!$B$3)*(1-Korting!$B$2)*Prijsmutaties!$B$9))</f>
        <v>733.26026085545448</v>
      </c>
      <c r="T4" s="5">
        <v>120</v>
      </c>
    </row>
    <row r="5" spans="1:21" ht="16.5" customHeight="1">
      <c r="A5" s="538"/>
      <c r="B5" s="547"/>
      <c r="C5" s="9">
        <v>140</v>
      </c>
      <c r="D5" s="10">
        <f>(('85&amp;100 (2)'!D5/(1+Korting!$B$3)*(1-Korting!$B$2)*Prijsmutaties!$B$9))</f>
        <v>368.91870802090898</v>
      </c>
      <c r="E5" s="10">
        <f>(('85&amp;100 (2)'!E5/(1+Korting!$B$3)*(1-Korting!$B$2)*Prijsmutaties!$B$9))</f>
        <v>395.46620810181804</v>
      </c>
      <c r="F5" s="10">
        <f>(('85&amp;100 (2)'!F5/(1+Korting!$B$3)*(1-Korting!$B$2)*Prijsmutaties!$B$9))</f>
        <v>412.8593978099999</v>
      </c>
      <c r="G5" s="10">
        <f>(('85&amp;100 (2)'!G5/(1+Korting!$B$3)*(1-Korting!$B$2)*Prijsmutaties!$B$9))</f>
        <v>445.81491515181807</v>
      </c>
      <c r="H5" s="10">
        <f>(('85&amp;100 (2)'!H5/(1+Korting!$B$3)*(1-Korting!$B$2)*Prijsmutaties!$B$9))</f>
        <v>467.78526004636353</v>
      </c>
      <c r="I5" s="10">
        <f>(('85&amp;100 (2)'!I5/(1+Korting!$B$3)*(1-Korting!$B$2)*Prijsmutaties!$B$9))</f>
        <v>493.41732908999984</v>
      </c>
      <c r="J5" s="10">
        <f>(('85&amp;100 (2)'!J5/(1+Korting!$B$3)*(1-Korting!$B$2)*Prijsmutaties!$B$9))</f>
        <v>515.38767398454536</v>
      </c>
      <c r="K5" s="10">
        <f>(('85&amp;100 (2)'!K5/(1+Korting!$B$3)*(1-Korting!$B$2)*Prijsmutaties!$B$9))</f>
        <v>538.27344991636357</v>
      </c>
      <c r="L5" s="10">
        <f>(('85&amp;100 (2)'!L5/(1+Korting!$B$3)*(1-Korting!$B$2)*Prijsmutaties!$B$9))</f>
        <v>570.31353622090899</v>
      </c>
      <c r="M5" s="189">
        <f>(('85&amp;100 (2)'!M5/(1+Korting!$B$3)*(1-Korting!$B$2)*Prijsmutaties!$B$9))</f>
        <v>594.41866629437436</v>
      </c>
      <c r="N5" s="10">
        <f>(('85&amp;100 (2)'!O5/(1+Korting!$B$3)*(1-Korting!$B$2)*Prijsmutaties!$B$9))</f>
        <v>616.08508808454542</v>
      </c>
      <c r="O5" s="10">
        <f>(('85&amp;100 (2)'!P5/(1+Korting!$B$3)*(1-Korting!$B$2)*Prijsmutaties!$B$9))</f>
        <v>638.97086401636352</v>
      </c>
      <c r="P5" s="10">
        <f>(('85&amp;100 (2)'!Q5/(1+Korting!$B$3)*(1-Korting!$B$2)*Prijsmutaties!$B$9))</f>
        <v>664.60293305999994</v>
      </c>
      <c r="Q5" s="10">
        <f>(('85&amp;100 (2)'!R5/(1+Korting!$B$3)*(1-Korting!$B$2)*Prijsmutaties!$B$9))</f>
        <v>691.15043314090894</v>
      </c>
      <c r="R5" s="10">
        <f>(('85&amp;100 (2)'!S5/(1+Korting!$B$3)*(1-Korting!$B$2)*Prijsmutaties!$B$9))</f>
        <v>716.78250218454525</v>
      </c>
      <c r="S5" s="10">
        <f>(('85&amp;100 (2)'!T5/(1+Korting!$B$3)*(1-Korting!$B$2)*Prijsmutaties!$B$9))</f>
        <v>741.49914019090886</v>
      </c>
      <c r="T5" s="13">
        <v>140</v>
      </c>
    </row>
    <row r="6" spans="1:21" ht="16.5" customHeight="1">
      <c r="A6" s="538"/>
      <c r="B6" s="547"/>
      <c r="C6" s="14">
        <v>160</v>
      </c>
      <c r="D6" s="15">
        <f>(('85&amp;100 (2)'!D6/(1+Korting!$B$3)*(1-Korting!$B$2)*Prijsmutaties!$B$9))</f>
        <v>385.39646669181809</v>
      </c>
      <c r="E6" s="15">
        <f>(('85&amp;100 (2)'!E6/(1+Korting!$B$3)*(1-Korting!$B$2)*Prijsmutaties!$B$9))</f>
        <v>409.197673660909</v>
      </c>
      <c r="F6" s="15">
        <f>(('85&amp;100 (2)'!F6/(1+Korting!$B$3)*(1-Korting!$B$2)*Prijsmutaties!$B$9))</f>
        <v>445.81491515181807</v>
      </c>
      <c r="G6" s="15">
        <f>(('85&amp;100 (2)'!G6/(1+Korting!$B$3)*(1-Korting!$B$2)*Prijsmutaties!$B$9))</f>
        <v>465.95439797181808</v>
      </c>
      <c r="H6" s="15">
        <f>(('85&amp;100 (2)'!H6/(1+Korting!$B$3)*(1-Korting!$B$2)*Prijsmutaties!$B$9))</f>
        <v>491.58646701545445</v>
      </c>
      <c r="I6" s="15">
        <f>(('85&amp;100 (2)'!I6/(1+Korting!$B$3)*(1-Korting!$B$2)*Prijsmutaties!$B$9))</f>
        <v>519.96482917090896</v>
      </c>
      <c r="J6" s="15">
        <f>(('85&amp;100 (2)'!J6/(1+Korting!$B$3)*(1-Korting!$B$2)*Prijsmutaties!$B$9))</f>
        <v>541.93517406545448</v>
      </c>
      <c r="K6" s="15">
        <f>(('85&amp;100 (2)'!K6/(1+Korting!$B$3)*(1-Korting!$B$2)*Prijsmutaties!$B$9))</f>
        <v>573.97526036999989</v>
      </c>
      <c r="L6" s="15">
        <f>(('85&amp;100 (2)'!L6/(1+Korting!$B$3)*(1-Korting!$B$2)*Prijsmutaties!$B$9))</f>
        <v>595.94560526454529</v>
      </c>
      <c r="M6" s="190">
        <f>(('85&amp;100 (2)'!M6/(1+Korting!$B$3)*(1-Korting!$B$2)*Prijsmutaties!$B$9))</f>
        <v>628.41319786349709</v>
      </c>
      <c r="N6" s="15">
        <f>(('85&amp;100 (2)'!O6/(1+Korting!$B$3)*(1-Korting!$B$2)*Prijsmutaties!$B$9))</f>
        <v>650.87146750090903</v>
      </c>
      <c r="O6" s="15">
        <f>(('85&amp;100 (2)'!P6/(1+Korting!$B$3)*(1-Korting!$B$2)*Prijsmutaties!$B$9))</f>
        <v>674.67267446999995</v>
      </c>
      <c r="P6" s="15">
        <f>(('85&amp;100 (2)'!Q6/(1+Korting!$B$3)*(1-Korting!$B$2)*Prijsmutaties!$B$9))</f>
        <v>704.88189869999985</v>
      </c>
      <c r="Q6" s="15">
        <f>(('85&amp;100 (2)'!R6/(1+Korting!$B$3)*(1-Korting!$B$2)*Prijsmutaties!$B$9))</f>
        <v>733.26026085545448</v>
      </c>
      <c r="R6" s="15">
        <f>(('85&amp;100 (2)'!S6/(1+Korting!$B$3)*(1-Korting!$B$2)*Prijsmutaties!$B$9))</f>
        <v>755.23060574999977</v>
      </c>
      <c r="S6" s="15">
        <f>(('85&amp;100 (2)'!T6/(1+Korting!$B$3)*(1-Korting!$B$2)*Prijsmutaties!$B$9))</f>
        <v>787.27069205454541</v>
      </c>
      <c r="T6" s="5">
        <v>160</v>
      </c>
    </row>
    <row r="7" spans="1:21" ht="16.5" customHeight="1">
      <c r="A7" s="538"/>
      <c r="B7" s="547"/>
      <c r="C7" s="9">
        <v>180</v>
      </c>
      <c r="D7" s="10">
        <f>(('85&amp;100 (2)'!D7/(1+Korting!$B$3)*(1-Korting!$B$2)*Prijsmutaties!$B$9))</f>
        <v>399.12793225090905</v>
      </c>
      <c r="E7" s="10">
        <f>(('85&amp;100 (2)'!E7/(1+Korting!$B$3)*(1-Korting!$B$2)*Prijsmutaties!$B$9))</f>
        <v>429.33715648090902</v>
      </c>
      <c r="F7" s="10">
        <f>(('85&amp;100 (2)'!F7/(1+Korting!$B$3)*(1-Korting!$B$2)*Prijsmutaties!$B$9))</f>
        <v>459.54638071090898</v>
      </c>
      <c r="G7" s="10">
        <f>(('85&amp;100 (2)'!G7/(1+Korting!$B$3)*(1-Korting!$B$2)*Prijsmutaties!$B$9))</f>
        <v>487.92474286636354</v>
      </c>
      <c r="H7" s="10">
        <f>(('85&amp;100 (2)'!H7/(1+Korting!$B$3)*(1-Korting!$B$2)*Prijsmutaties!$B$9))</f>
        <v>509.89508776090895</v>
      </c>
      <c r="I7" s="10">
        <f>(('85&amp;100 (2)'!I7/(1+Korting!$B$3)*(1-Korting!$B$2)*Prijsmutaties!$B$9))</f>
        <v>535.52715680454537</v>
      </c>
      <c r="J7" s="10">
        <f>(('85&amp;100 (2)'!J7/(1+Korting!$B$3)*(1-Korting!$B$2)*Prijsmutaties!$B$9))</f>
        <v>570.31353622090899</v>
      </c>
      <c r="K7" s="10">
        <f>(('85&amp;100 (2)'!K7/(1+Korting!$B$3)*(1-Korting!$B$2)*Prijsmutaties!$B$9))</f>
        <v>594.1147431899999</v>
      </c>
      <c r="L7" s="10">
        <f>(('85&amp;100 (2)'!L7/(1+Korting!$B$3)*(1-Korting!$B$2)*Prijsmutaties!$B$9))</f>
        <v>622.49310534545441</v>
      </c>
      <c r="M7" s="189">
        <f>(('85&amp;100 (2)'!M7/(1+Korting!$B$3)*(1-Korting!$B$2)*Prijsmutaties!$B$9))</f>
        <v>650.75246146606344</v>
      </c>
      <c r="N7" s="10">
        <f>(('85&amp;100 (2)'!O7/(1+Korting!$B$3)*(1-Korting!$B$2)*Prijsmutaties!$B$9))</f>
        <v>679.24982965636354</v>
      </c>
      <c r="O7" s="10">
        <f>(('85&amp;100 (2)'!P7/(1+Korting!$B$3)*(1-Korting!$B$2)*Prijsmutaties!$B$9))</f>
        <v>706.71276077454525</v>
      </c>
      <c r="P7" s="10">
        <f>(('85&amp;100 (2)'!Q7/(1+Korting!$B$3)*(1-Korting!$B$2)*Prijsmutaties!$B$9))</f>
        <v>736.92198500454526</v>
      </c>
      <c r="Q7" s="10">
        <f>(('85&amp;100 (2)'!R7/(1+Korting!$B$3)*(1-Korting!$B$2)*Prijsmutaties!$B$9))</f>
        <v>763.46948508545438</v>
      </c>
      <c r="R7" s="10">
        <f>(('85&amp;100 (2)'!S7/(1+Korting!$B$3)*(1-Korting!$B$2)*Prijsmutaties!$B$9))</f>
        <v>791.847847240909</v>
      </c>
      <c r="S7" s="10">
        <f>(('85&amp;100 (2)'!T7/(1+Korting!$B$3)*(1-Korting!$B$2)*Prijsmutaties!$B$9))</f>
        <v>815.64905420999969</v>
      </c>
      <c r="T7" s="13">
        <v>180</v>
      </c>
    </row>
    <row r="8" spans="1:21" ht="16.5" customHeight="1">
      <c r="A8" s="538"/>
      <c r="B8" s="547"/>
      <c r="C8" s="14">
        <v>200</v>
      </c>
      <c r="D8" s="15">
        <f>(('85&amp;100 (2)'!D8/(1+Korting!$B$3)*(1-Korting!$B$2)*Prijsmutaties!$B$9))</f>
        <v>409.197673660909</v>
      </c>
      <c r="E8" s="15">
        <f>(('85&amp;100 (2)'!E8/(1+Korting!$B$3)*(1-Korting!$B$2)*Prijsmutaties!$B$9))</f>
        <v>445.81491515181807</v>
      </c>
      <c r="F8" s="15">
        <f>(('85&amp;100 (2)'!F8/(1+Korting!$B$3)*(1-Korting!$B$2)*Prijsmutaties!$B$9))</f>
        <v>471.44698419545443</v>
      </c>
      <c r="G8" s="15">
        <f>(('85&amp;100 (2)'!G8/(1+Korting!$B$3)*(1-Korting!$B$2)*Prijsmutaties!$B$9))</f>
        <v>499.825346350909</v>
      </c>
      <c r="H8" s="15">
        <f>(('85&amp;100 (2)'!H8/(1+Korting!$B$3)*(1-Korting!$B$2)*Prijsmutaties!$B$9))</f>
        <v>528.20370850636357</v>
      </c>
      <c r="I8" s="15">
        <f>(('85&amp;100 (2)'!I8/(1+Korting!$B$3)*(1-Korting!$B$2)*Prijsmutaties!$B$9))</f>
        <v>558.41293273636347</v>
      </c>
      <c r="J8" s="15">
        <f>(('85&amp;100 (2)'!J8/(1+Korting!$B$3)*(1-Korting!$B$2)*Prijsmutaties!$B$9))</f>
        <v>588.62215696636349</v>
      </c>
      <c r="K8" s="15">
        <f>(('85&amp;100 (2)'!K8/(1+Korting!$B$3)*(1-Korting!$B$2)*Prijsmutaties!$B$9))</f>
        <v>616.08508808454542</v>
      </c>
      <c r="L8" s="15">
        <f>(('85&amp;100 (2)'!L8/(1+Korting!$B$3)*(1-Korting!$B$2)*Prijsmutaties!$B$9))</f>
        <v>649.04060542636341</v>
      </c>
      <c r="M8" s="190">
        <f>(('85&amp;100 (2)'!M8/(1+Korting!$B$3)*(1-Korting!$B$2)*Prijsmutaties!$B$9))</f>
        <v>671.14918040753719</v>
      </c>
      <c r="N8" s="15">
        <f>(('85&amp;100 (2)'!O8/(1+Korting!$B$3)*(1-Korting!$B$2)*Prijsmutaties!$B$9))</f>
        <v>703.05103662545446</v>
      </c>
      <c r="O8" s="15">
        <f>(('85&amp;100 (2)'!P8/(1+Korting!$B$3)*(1-Korting!$B$2)*Prijsmutaties!$B$9))</f>
        <v>731.42939878090885</v>
      </c>
      <c r="P8" s="15">
        <f>(('85&amp;100 (2)'!Q8/(1+Korting!$B$3)*(1-Korting!$B$2)*Prijsmutaties!$B$9))</f>
        <v>755.23060574999977</v>
      </c>
      <c r="Q8" s="15">
        <f>(('85&amp;100 (2)'!R8/(1+Korting!$B$3)*(1-Korting!$B$2)*Prijsmutaties!$B$9))</f>
        <v>790.01698516636338</v>
      </c>
      <c r="R8" s="15">
        <f>(('85&amp;100 (2)'!S8/(1+Korting!$B$3)*(1-Korting!$B$2)*Prijsmutaties!$B$9))</f>
        <v>813.8181921354543</v>
      </c>
      <c r="S8" s="15">
        <f>(('85&amp;100 (2)'!T8/(1+Korting!$B$3)*(1-Korting!$B$2)*Prijsmutaties!$B$9))</f>
        <v>847.68914051454533</v>
      </c>
      <c r="T8" s="5">
        <v>200</v>
      </c>
    </row>
    <row r="9" spans="1:21" ht="16.5" customHeight="1">
      <c r="A9" s="538"/>
      <c r="B9" s="547"/>
      <c r="C9" s="9">
        <v>220</v>
      </c>
      <c r="D9" s="10">
        <f>(('85&amp;100 (2)'!D9/(1+Korting!$B$3)*(1-Korting!$B$2)*Prijsmutaties!$B$9))</f>
        <v>445.81491515181807</v>
      </c>
      <c r="E9" s="10">
        <f>(('85&amp;100 (2)'!E9/(1+Korting!$B$3)*(1-Korting!$B$2)*Prijsmutaties!$B$9))</f>
        <v>471.44698419545443</v>
      </c>
      <c r="F9" s="10">
        <f>(('85&amp;100 (2)'!F9/(1+Korting!$B$3)*(1-Korting!$B$2)*Prijsmutaties!$B$9))</f>
        <v>505.31793257454541</v>
      </c>
      <c r="G9" s="10">
        <f>(('85&amp;100 (2)'!G9/(1+Korting!$B$3)*(1-Korting!$B$2)*Prijsmutaties!$B$9))</f>
        <v>533.69629472999986</v>
      </c>
      <c r="H9" s="10">
        <f>(('85&amp;100 (2)'!H9/(1+Korting!$B$3)*(1-Korting!$B$2)*Prijsmutaties!$B$9))</f>
        <v>570.31353622090899</v>
      </c>
      <c r="I9" s="10">
        <f>(('85&amp;100 (2)'!I9/(1+Korting!$B$3)*(1-Korting!$B$2)*Prijsmutaties!$B$9))</f>
        <v>598.6918983763635</v>
      </c>
      <c r="J9" s="10">
        <f>(('85&amp;100 (2)'!J9/(1+Korting!$B$3)*(1-Korting!$B$2)*Prijsmutaties!$B$9))</f>
        <v>630.73198468090891</v>
      </c>
      <c r="K9" s="10">
        <f>(('85&amp;100 (2)'!K9/(1+Korting!$B$3)*(1-Korting!$B$2)*Prijsmutaties!$B$9))</f>
        <v>664.60293305999994</v>
      </c>
      <c r="L9" s="10">
        <f>(('85&amp;100 (2)'!L9/(1+Korting!$B$3)*(1-Korting!$B$2)*Prijsmutaties!$B$9))</f>
        <v>691.15043314090894</v>
      </c>
      <c r="M9" s="189">
        <f>(('85&amp;100 (2)'!M9/(1+Korting!$B$3)*(1-Korting!$B$2)*Prijsmutaties!$B$9))</f>
        <v>731.36806490141157</v>
      </c>
      <c r="N9" s="10">
        <f>(('85&amp;100 (2)'!O9/(1+Korting!$B$3)*(1-Korting!$B$2)*Prijsmutaties!$B$9))</f>
        <v>757.06146782454528</v>
      </c>
      <c r="O9" s="10">
        <f>(('85&amp;100 (2)'!P9/(1+Korting!$B$3)*(1-Korting!$B$2)*Prijsmutaties!$B$9))</f>
        <v>791.847847240909</v>
      </c>
      <c r="P9" s="10">
        <f>(('85&amp;100 (2)'!Q9/(1+Korting!$B$3)*(1-Korting!$B$2)*Prijsmutaties!$B$9))</f>
        <v>823.88793354545442</v>
      </c>
      <c r="Q9" s="10">
        <f>(('85&amp;100 (2)'!R9/(1+Korting!$B$3)*(1-Korting!$B$2)*Prijsmutaties!$B$9))</f>
        <v>855.92801984999983</v>
      </c>
      <c r="R9" s="225"/>
      <c r="S9" s="225"/>
      <c r="T9" s="13">
        <v>220</v>
      </c>
    </row>
    <row r="10" spans="1:21" ht="16.5" customHeight="1">
      <c r="A10" s="538"/>
      <c r="B10" s="547"/>
      <c r="C10" s="14">
        <v>240</v>
      </c>
      <c r="D10" s="15">
        <f>(('85&amp;100 (2)'!D10/(1+Korting!$B$3)*(1-Korting!$B$2)*Prijsmutaties!$B$9))</f>
        <v>449.47663930090897</v>
      </c>
      <c r="E10" s="15">
        <f>(('85&amp;100 (2)'!E10/(1+Korting!$B$3)*(1-Korting!$B$2)*Prijsmutaties!$B$9))</f>
        <v>477.85500145636354</v>
      </c>
      <c r="F10" s="15">
        <f>(('85&amp;100 (2)'!F10/(1+Korting!$B$3)*(1-Korting!$B$2)*Prijsmutaties!$B$9))</f>
        <v>509.89508776090895</v>
      </c>
      <c r="G10" s="15">
        <f>(('85&amp;100 (2)'!G10/(1+Korting!$B$3)*(1-Korting!$B$2)*Prijsmutaties!$B$9))</f>
        <v>541.93517406545448</v>
      </c>
      <c r="H10" s="15">
        <f>(('85&amp;100 (2)'!H10/(1+Korting!$B$3)*(1-Korting!$B$2)*Prijsmutaties!$B$9))</f>
        <v>578.5524155563636</v>
      </c>
      <c r="I10" s="15">
        <f>(('85&amp;100 (2)'!I10/(1+Korting!$B$3)*(1-Korting!$B$2)*Prijsmutaties!$B$9))</f>
        <v>610.59250186090901</v>
      </c>
      <c r="J10" s="15">
        <f>(('85&amp;100 (2)'!J10/(1+Korting!$B$3)*(1-Korting!$B$2)*Prijsmutaties!$B$9))</f>
        <v>638.97086401636352</v>
      </c>
      <c r="K10" s="15">
        <f>(('85&amp;100 (2)'!K10/(1+Korting!$B$3)*(1-Korting!$B$2)*Prijsmutaties!$B$9))</f>
        <v>674.67267446999995</v>
      </c>
      <c r="L10" s="15">
        <f>(('85&amp;100 (2)'!L10/(1+Korting!$B$3)*(1-Korting!$B$2)*Prijsmutaties!$B$9))</f>
        <v>706.71276077454525</v>
      </c>
      <c r="M10" s="190">
        <f>(('85&amp;100 (2)'!M10/(1+Korting!$B$3)*(1-Korting!$B$2)*Prijsmutaties!$B$9))</f>
        <v>741.08078820687524</v>
      </c>
      <c r="N10" s="15">
        <f>(('85&amp;100 (2)'!O10/(1+Korting!$B$3)*(1-Korting!$B$2)*Prijsmutaties!$B$9))</f>
        <v>771.70836442090888</v>
      </c>
      <c r="O10" s="15">
        <f>(('85&amp;100 (2)'!P10/(1+Korting!$B$3)*(1-Korting!$B$2)*Prijsmutaties!$B$9))</f>
        <v>803.7484507254544</v>
      </c>
      <c r="P10" s="226"/>
      <c r="Q10" s="226"/>
      <c r="R10" s="226"/>
      <c r="S10" s="226"/>
      <c r="T10" s="5">
        <v>240</v>
      </c>
    </row>
    <row r="11" spans="1:21" ht="16.5" customHeight="1">
      <c r="A11" s="538"/>
      <c r="B11" s="547"/>
      <c r="C11" s="9">
        <v>260</v>
      </c>
      <c r="D11" s="10">
        <f>(('85&amp;100 (2)'!D11/(1+Korting!$B$3)*(1-Korting!$B$2)*Prijsmutaties!$B$9))</f>
        <v>473.27784626999988</v>
      </c>
      <c r="E11" s="10">
        <f>(('85&amp;100 (2)'!E11/(1+Korting!$B$3)*(1-Korting!$B$2)*Prijsmutaties!$B$9))</f>
        <v>508.06422568636344</v>
      </c>
      <c r="F11" s="10">
        <f>(('85&amp;100 (2)'!F11/(1+Korting!$B$3)*(1-Korting!$B$2)*Prijsmutaties!$B$9))</f>
        <v>541.93517406545448</v>
      </c>
      <c r="G11" s="10">
        <f>(('85&amp;100 (2)'!G11/(1+Korting!$B$3)*(1-Korting!$B$2)*Prijsmutaties!$B$9))</f>
        <v>585.87586385454529</v>
      </c>
      <c r="H11" s="10">
        <f>(('85&amp;100 (2)'!H11/(1+Korting!$B$3)*(1-Korting!$B$2)*Prijsmutaties!$B$9))</f>
        <v>616.08508808454542</v>
      </c>
      <c r="I11" s="10">
        <f>(('85&amp;100 (2)'!I11/(1+Korting!$B$3)*(1-Korting!$B$2)*Prijsmutaties!$B$9))</f>
        <v>650.87146750090903</v>
      </c>
      <c r="J11" s="10">
        <f>(('85&amp;100 (2)'!J11/(1+Korting!$B$3)*(1-Korting!$B$2)*Prijsmutaties!$B$9))</f>
        <v>686.57327795454535</v>
      </c>
      <c r="K11" s="10">
        <f>(('85&amp;100 (2)'!K11/(1+Korting!$B$3)*(1-Korting!$B$2)*Prijsmutaties!$B$9))</f>
        <v>726.85224359454514</v>
      </c>
      <c r="L11" s="10">
        <f>(('85&amp;100 (2)'!L11/(1+Korting!$B$3)*(1-Korting!$B$2)*Prijsmutaties!$B$9))</f>
        <v>755.23060574999977</v>
      </c>
      <c r="M11" s="189">
        <f>(('85&amp;100 (2)'!M11/(1+Korting!$B$3)*(1-Korting!$B$2)*Prijsmutaties!$B$9))</f>
        <v>795.47203871747161</v>
      </c>
      <c r="N11" s="10">
        <f>(('85&amp;100 (2)'!O11/(1+Korting!$B$3)*(1-Korting!$B$2)*Prijsmutaties!$B$9))</f>
        <v>830.29595080636341</v>
      </c>
      <c r="O11" s="225"/>
      <c r="P11" s="225"/>
      <c r="Q11" s="225"/>
      <c r="R11" s="225"/>
      <c r="S11" s="225"/>
      <c r="T11" s="13">
        <v>260</v>
      </c>
    </row>
    <row r="12" spans="1:21" ht="16.5" customHeight="1">
      <c r="A12" s="538"/>
      <c r="B12" s="547"/>
      <c r="C12" s="19">
        <v>280</v>
      </c>
      <c r="D12" s="20">
        <f>(('85&amp;100 (2)'!D12/(1+Korting!$B$3)*(1-Korting!$B$2)*Prijsmutaties!$B$9))</f>
        <v>481.5167256054545</v>
      </c>
      <c r="E12" s="20">
        <f>(('85&amp;100 (2)'!E12/(1+Korting!$B$3)*(1-Korting!$B$2)*Prijsmutaties!$B$9))</f>
        <v>519.96482917090896</v>
      </c>
      <c r="F12" s="20">
        <f>(('85&amp;100 (2)'!F12/(1+Korting!$B$3)*(1-Korting!$B$2)*Prijsmutaties!$B$9))</f>
        <v>552.00491547545448</v>
      </c>
      <c r="G12" s="20">
        <f>(('85&amp;100 (2)'!G12/(1+Korting!$B$3)*(1-Korting!$B$2)*Prijsmutaties!$B$9))</f>
        <v>592.28388111545439</v>
      </c>
      <c r="H12" s="20">
        <f>(('85&amp;100 (2)'!H12/(1+Korting!$B$3)*(1-Korting!$B$2)*Prijsmutaties!$B$9))</f>
        <v>628.90112260636351</v>
      </c>
      <c r="I12" s="20">
        <f>(('85&amp;100 (2)'!I12/(1+Korting!$B$3)*(1-Korting!$B$2)*Prijsmutaties!$B$9))</f>
        <v>662.77207098545443</v>
      </c>
      <c r="J12" s="20">
        <f>(('85&amp;100 (2)'!J12/(1+Korting!$B$3)*(1-Korting!$B$2)*Prijsmutaties!$B$9))</f>
        <v>694.81215728999985</v>
      </c>
      <c r="K12" s="20">
        <f>(('85&amp;100 (2)'!K12/(1+Korting!$B$3)*(1-Korting!$B$2)*Prijsmutaties!$B$9))</f>
        <v>735.09112292999987</v>
      </c>
      <c r="L12" s="20">
        <f>(('85&amp;100 (2)'!L12/(1+Korting!$B$3)*(1-Korting!$B$2)*Prijsmutaties!$B$9))</f>
        <v>769.87750234636349</v>
      </c>
      <c r="M12" s="235">
        <f>(('85&amp;100 (2)'!M12/(1+Korting!$B$3)*(1-Korting!$B$2)*Prijsmutaties!$B$9))</f>
        <v>804.21348969238886</v>
      </c>
      <c r="N12" s="227"/>
      <c r="O12" s="227"/>
      <c r="P12" s="227"/>
      <c r="Q12" s="227"/>
      <c r="R12" s="227"/>
      <c r="S12" s="227"/>
      <c r="T12" s="24">
        <v>280</v>
      </c>
    </row>
    <row r="13" spans="1:21" ht="15.6" customHeight="1">
      <c r="A13" s="538"/>
      <c r="B13" s="547"/>
      <c r="C13" s="533"/>
      <c r="D13" s="533"/>
      <c r="E13" s="533"/>
      <c r="F13" s="533"/>
      <c r="G13" s="533"/>
      <c r="H13" s="533"/>
      <c r="I13" s="533"/>
      <c r="J13" s="533"/>
      <c r="K13" s="533"/>
      <c r="L13" s="533"/>
      <c r="M13" s="533"/>
      <c r="N13" s="533"/>
      <c r="O13" s="533"/>
      <c r="P13" s="533"/>
      <c r="Q13" s="533"/>
      <c r="R13" s="533"/>
      <c r="S13" s="533"/>
      <c r="T13" s="533"/>
    </row>
    <row r="14" spans="1:21" ht="16.5" customHeight="1">
      <c r="A14" s="538"/>
      <c r="B14" s="547"/>
      <c r="C14" s="25" t="s">
        <v>13</v>
      </c>
      <c r="D14" s="26">
        <v>100</v>
      </c>
      <c r="E14" s="26">
        <v>120</v>
      </c>
      <c r="F14" s="26">
        <v>140</v>
      </c>
      <c r="G14" s="26">
        <v>160</v>
      </c>
      <c r="H14" s="26">
        <v>180</v>
      </c>
      <c r="I14" s="26">
        <v>200</v>
      </c>
      <c r="J14" s="26">
        <v>220</v>
      </c>
      <c r="K14" s="26">
        <v>240</v>
      </c>
      <c r="L14" s="26">
        <v>260</v>
      </c>
      <c r="M14" s="327">
        <v>280</v>
      </c>
      <c r="N14" s="26">
        <v>300</v>
      </c>
      <c r="O14" s="26">
        <v>320</v>
      </c>
      <c r="P14" s="26">
        <v>340</v>
      </c>
      <c r="Q14" s="26">
        <v>360</v>
      </c>
      <c r="R14" s="26">
        <v>380</v>
      </c>
      <c r="S14" s="26">
        <v>400</v>
      </c>
      <c r="T14" s="308"/>
    </row>
    <row r="15" spans="1:21" ht="16.5" customHeight="1">
      <c r="A15" s="538"/>
      <c r="B15" s="547"/>
      <c r="C15" s="9">
        <v>100</v>
      </c>
      <c r="D15" s="10">
        <f>(('85&amp;100 (2)'!D15/(1+Korting!$B$3)*(1-Korting!$B$2)*Prijsmutaties!$B$9))</f>
        <v>541.93517406545448</v>
      </c>
      <c r="E15" s="10">
        <f>(('85&amp;100 (2)'!E15/(1+Korting!$B$3)*(1-Korting!$B$2)*Prijsmutaties!$B$9))</f>
        <v>573.97526036999989</v>
      </c>
      <c r="F15" s="10">
        <f>(('85&amp;100 (2)'!F15/(1+Korting!$B$3)*(1-Korting!$B$2)*Prijsmutaties!$B$9))</f>
        <v>592.28388111545439</v>
      </c>
      <c r="G15" s="10">
        <f>(('85&amp;100 (2)'!G15/(1+Korting!$B$3)*(1-Korting!$B$2)*Prijsmutaties!$B$9))</f>
        <v>618.8313811963634</v>
      </c>
      <c r="H15" s="10">
        <f>(('85&amp;100 (2)'!H15/(1+Korting!$B$3)*(1-Korting!$B$2)*Prijsmutaties!$B$9))</f>
        <v>642.63258816545431</v>
      </c>
      <c r="I15" s="10">
        <f>(('85&amp;100 (2)'!I15/(1+Korting!$B$3)*(1-Korting!$B$2)*Prijsmutaties!$B$9))</f>
        <v>669.18008824636354</v>
      </c>
      <c r="J15" s="10">
        <f>(('85&amp;100 (2)'!J15/(1+Korting!$B$3)*(1-Korting!$B$2)*Prijsmutaties!$B$9))</f>
        <v>691.15043314090894</v>
      </c>
      <c r="K15" s="10">
        <f>(('85&amp;100 (2)'!K15/(1+Korting!$B$3)*(1-Korting!$B$2)*Prijsmutaties!$B$9))</f>
        <v>723.19051944545447</v>
      </c>
      <c r="L15" s="10">
        <f>(('85&amp;100 (2)'!L15/(1+Korting!$B$3)*(1-Korting!$B$2)*Prijsmutaties!$B$9))</f>
        <v>741.49914019090886</v>
      </c>
      <c r="M15" s="189">
        <f>(('85&amp;100 (2)'!M15/(1+Korting!$B$3)*(1-Korting!$B$2)*Prijsmutaties!$B$9))</f>
        <v>765.3625964705343</v>
      </c>
      <c r="N15" s="10">
        <f>(('85&amp;100 (2)'!O15/(1+Korting!$B$3)*(1-Korting!$B$2)*Prijsmutaties!$B$9))</f>
        <v>791.847847240909</v>
      </c>
      <c r="O15" s="10">
        <f>(('85&amp;100 (2)'!P15/(1+Korting!$B$3)*(1-Korting!$B$2)*Prijsmutaties!$B$9))</f>
        <v>811.98733006090902</v>
      </c>
      <c r="P15" s="10">
        <f>(('85&amp;100 (2)'!Q15/(1+Korting!$B$3)*(1-Korting!$B$2)*Prijsmutaties!$B$9))</f>
        <v>844.02741636545431</v>
      </c>
      <c r="Q15" s="10">
        <f>(('85&amp;100 (2)'!R15/(1+Korting!$B$3)*(1-Korting!$B$2)*Prijsmutaties!$B$9))</f>
        <v>864.16689918545433</v>
      </c>
      <c r="R15" s="10">
        <f>(('85&amp;100 (2)'!S15/(1+Korting!$B$3)*(1-Korting!$B$2)*Prijsmutaties!$B$9))</f>
        <v>887.96810615454524</v>
      </c>
      <c r="S15" s="10">
        <f>(('85&amp;100 (2)'!T15/(1+Korting!$B$3)*(1-Korting!$B$2)*Prijsmutaties!$B$9))</f>
        <v>912.68474416090885</v>
      </c>
      <c r="T15" s="13">
        <v>100</v>
      </c>
    </row>
    <row r="16" spans="1:21" ht="16.5" customHeight="1">
      <c r="A16" s="538"/>
      <c r="B16" s="547"/>
      <c r="C16" s="14">
        <v>120</v>
      </c>
      <c r="D16" s="15">
        <f>(('85&amp;100 (2)'!D16/(1+Korting!$B$3)*(1-Korting!$B$2)*Prijsmutaties!$B$9))</f>
        <v>555.66663962454538</v>
      </c>
      <c r="E16" s="15">
        <f>(('85&amp;100 (2)'!E16/(1+Korting!$B$3)*(1-Korting!$B$2)*Prijsmutaties!$B$9))</f>
        <v>580.38327763090888</v>
      </c>
      <c r="F16" s="15">
        <f>(('85&amp;100 (2)'!F16/(1+Korting!$B$3)*(1-Korting!$B$2)*Prijsmutaties!$B$9))</f>
        <v>602.35362252545451</v>
      </c>
      <c r="G16" s="15">
        <f>(('85&amp;100 (2)'!G16/(1+Korting!$B$3)*(1-Korting!$B$2)*Prijsmutaties!$B$9))</f>
        <v>630.73198468090891</v>
      </c>
      <c r="H16" s="15">
        <f>(('85&amp;100 (2)'!H16/(1+Korting!$B$3)*(1-Korting!$B$2)*Prijsmutaties!$B$9))</f>
        <v>652.70232957545443</v>
      </c>
      <c r="I16" s="15">
        <f>(('85&amp;100 (2)'!I16/(1+Korting!$B$3)*(1-Korting!$B$2)*Prijsmutaties!$B$9))</f>
        <v>674.67267446999995</v>
      </c>
      <c r="J16" s="15">
        <f>(('85&amp;100 (2)'!J16/(1+Korting!$B$3)*(1-Korting!$B$2)*Prijsmutaties!$B$9))</f>
        <v>696.64301936454535</v>
      </c>
      <c r="K16" s="15">
        <f>(('85&amp;100 (2)'!K16/(1+Korting!$B$3)*(1-Korting!$B$2)*Prijsmutaties!$B$9))</f>
        <v>729.59853670636346</v>
      </c>
      <c r="L16" s="15">
        <f>(('85&amp;100 (2)'!L16/(1+Korting!$B$3)*(1-Korting!$B$2)*Prijsmutaties!$B$9))</f>
        <v>751.56888160090887</v>
      </c>
      <c r="M16" s="190">
        <f>(('85&amp;100 (2)'!M16/(1+Korting!$B$3)*(1-Korting!$B$2)*Prijsmutaties!$B$9))</f>
        <v>777.98913676763709</v>
      </c>
      <c r="N16" s="15">
        <f>(('85&amp;100 (2)'!O16/(1+Korting!$B$3)*(1-Korting!$B$2)*Prijsmutaties!$B$9))</f>
        <v>797.34043346454541</v>
      </c>
      <c r="O16" s="15">
        <f>(('85&amp;100 (2)'!P16/(1+Korting!$B$3)*(1-Korting!$B$2)*Prijsmutaties!$B$9))</f>
        <v>823.88793354545442</v>
      </c>
      <c r="P16" s="15">
        <f>(('85&amp;100 (2)'!Q16/(1+Korting!$B$3)*(1-Korting!$B$2)*Prijsmutaties!$B$9))</f>
        <v>850.43543362636342</v>
      </c>
      <c r="Q16" s="15">
        <f>(('85&amp;100 (2)'!R16/(1+Korting!$B$3)*(1-Korting!$B$2)*Prijsmutaties!$B$9))</f>
        <v>877.89836474454523</v>
      </c>
      <c r="R16" s="15">
        <f>(('85&amp;100 (2)'!S16/(1+Korting!$B$3)*(1-Korting!$B$2)*Prijsmutaties!$B$9))</f>
        <v>896.20698548999985</v>
      </c>
      <c r="S16" s="15">
        <f>(('85&amp;100 (2)'!T16/(1+Korting!$B$3)*(1-Korting!$B$2)*Prijsmutaties!$B$9))</f>
        <v>924.58534764545436</v>
      </c>
      <c r="T16" s="5">
        <v>120</v>
      </c>
    </row>
    <row r="17" spans="1:21" ht="16.5" customHeight="1">
      <c r="A17" s="538"/>
      <c r="B17" s="547"/>
      <c r="C17" s="9">
        <v>140</v>
      </c>
      <c r="D17" s="10">
        <f>(('85&amp;100 (2)'!D17/(1+Korting!$B$3)*(1-Korting!$B$2)*Prijsmutaties!$B$9))</f>
        <v>560.24379481090898</v>
      </c>
      <c r="E17" s="10">
        <f>(('85&amp;100 (2)'!E17/(1+Korting!$B$3)*(1-Korting!$B$2)*Prijsmutaties!$B$9))</f>
        <v>590.453019040909</v>
      </c>
      <c r="F17" s="10">
        <f>(('85&amp;100 (2)'!F17/(1+Korting!$B$3)*(1-Korting!$B$2)*Prijsmutaties!$B$9))</f>
        <v>610.59250186090901</v>
      </c>
      <c r="G17" s="10">
        <f>(('85&amp;100 (2)'!G17/(1+Korting!$B$3)*(1-Korting!$B$2)*Prijsmutaties!$B$9))</f>
        <v>634.39370882999981</v>
      </c>
      <c r="H17" s="10">
        <f>(('85&amp;100 (2)'!H17/(1+Korting!$B$3)*(1-Korting!$B$2)*Prijsmutaties!$B$9))</f>
        <v>662.77207098545443</v>
      </c>
      <c r="I17" s="10">
        <f>(('85&amp;100 (2)'!I17/(1+Korting!$B$3)*(1-Korting!$B$2)*Prijsmutaties!$B$9))</f>
        <v>686.57327795454535</v>
      </c>
      <c r="J17" s="10">
        <f>(('85&amp;100 (2)'!J17/(1+Korting!$B$3)*(1-Korting!$B$2)*Prijsmutaties!$B$9))</f>
        <v>711.28991596090896</v>
      </c>
      <c r="K17" s="10">
        <f>(('85&amp;100 (2)'!K17/(1+Korting!$B$3)*(1-Korting!$B$2)*Prijsmutaties!$B$9))</f>
        <v>735.09112292999987</v>
      </c>
      <c r="L17" s="10">
        <f>(('85&amp;100 (2)'!L17/(1+Korting!$B$3)*(1-Korting!$B$2)*Prijsmutaties!$B$9))</f>
        <v>763.46948508545438</v>
      </c>
      <c r="M17" s="189">
        <f>(('85&amp;100 (2)'!M17/(1+Korting!$B$3)*(1-Korting!$B$2)*Prijsmutaties!$B$9))</f>
        <v>789.64440473419347</v>
      </c>
      <c r="N17" s="10">
        <f>(('85&amp;100 (2)'!O17/(1+Korting!$B$3)*(1-Korting!$B$2)*Prijsmutaties!$B$9))</f>
        <v>810.15646798636351</v>
      </c>
      <c r="O17" s="10">
        <f>(('85&amp;100 (2)'!P17/(1+Korting!$B$3)*(1-Korting!$B$2)*Prijsmutaties!$B$9))</f>
        <v>833.95767495545442</v>
      </c>
      <c r="P17" s="10">
        <f>(('85&amp;100 (2)'!Q17/(1+Korting!$B$3)*(1-Korting!$B$2)*Prijsmutaties!$B$9))</f>
        <v>855.92801984999983</v>
      </c>
      <c r="Q17" s="10">
        <f>(('85&amp;100 (2)'!R17/(1+Korting!$B$3)*(1-Korting!$B$2)*Prijsmutaties!$B$9))</f>
        <v>887.96810615454524</v>
      </c>
      <c r="R17" s="10">
        <f>(('85&amp;100 (2)'!S17/(1+Korting!$B$3)*(1-Korting!$B$2)*Prijsmutaties!$B$9))</f>
        <v>908.10758897454525</v>
      </c>
      <c r="S17" s="10">
        <f>(('85&amp;100 (2)'!T17/(1+Korting!$B$3)*(1-Korting!$B$2)*Prijsmutaties!$B$9))</f>
        <v>934.65508905545437</v>
      </c>
      <c r="T17" s="13">
        <v>140</v>
      </c>
    </row>
    <row r="18" spans="1:21" ht="16.5" customHeight="1">
      <c r="A18" s="538"/>
      <c r="B18" s="547"/>
      <c r="C18" s="14">
        <v>160</v>
      </c>
      <c r="D18" s="15">
        <f>(('85&amp;100 (2)'!D18/(1+Korting!$B$3)*(1-Korting!$B$2)*Prijsmutaties!$B$9))</f>
        <v>580.38327763090888</v>
      </c>
      <c r="E18" s="15">
        <f>(('85&amp;100 (2)'!E18/(1+Korting!$B$3)*(1-Korting!$B$2)*Prijsmutaties!$B$9))</f>
        <v>606.0153466745453</v>
      </c>
      <c r="F18" s="15">
        <f>(('85&amp;100 (2)'!F18/(1+Korting!$B$3)*(1-Korting!$B$2)*Prijsmutaties!$B$9))</f>
        <v>634.39370882999981</v>
      </c>
      <c r="G18" s="15">
        <f>(('85&amp;100 (2)'!G18/(1+Korting!$B$3)*(1-Korting!$B$2)*Prijsmutaties!$B$9))</f>
        <v>656.36405372454533</v>
      </c>
      <c r="H18" s="15">
        <f>(('85&amp;100 (2)'!H18/(1+Korting!$B$3)*(1-Korting!$B$2)*Prijsmutaties!$B$9))</f>
        <v>684.74241587999995</v>
      </c>
      <c r="I18" s="15">
        <f>(('85&amp;100 (2)'!I18/(1+Korting!$B$3)*(1-Korting!$B$2)*Prijsmutaties!$B$9))</f>
        <v>716.78250218454525</v>
      </c>
      <c r="J18" s="15">
        <f>(('85&amp;100 (2)'!J18/(1+Korting!$B$3)*(1-Korting!$B$2)*Prijsmutaties!$B$9))</f>
        <v>736.92198500454526</v>
      </c>
      <c r="K18" s="15">
        <f>(('85&amp;100 (2)'!K18/(1+Korting!$B$3)*(1-Korting!$B$2)*Prijsmutaties!$B$9))</f>
        <v>765.30034715999977</v>
      </c>
      <c r="L18" s="15">
        <f>(('85&amp;100 (2)'!L18/(1+Korting!$B$3)*(1-Korting!$B$2)*Prijsmutaties!$B$9))</f>
        <v>791.847847240909</v>
      </c>
      <c r="M18" s="190">
        <f>(('85&amp;100 (2)'!M18/(1+Korting!$B$3)*(1-Korting!$B$2)*Prijsmutaties!$B$9))</f>
        <v>817.81130232003795</v>
      </c>
      <c r="N18" s="15">
        <f>(('85&amp;100 (2)'!O18/(1+Korting!$B$3)*(1-Korting!$B$2)*Prijsmutaties!$B$9))</f>
        <v>845.85827843999994</v>
      </c>
      <c r="O18" s="15">
        <f>(('85&amp;100 (2)'!P18/(1+Korting!$B$3)*(1-Korting!$B$2)*Prijsmutaties!$B$9))</f>
        <v>870.57491644636355</v>
      </c>
      <c r="P18" s="15">
        <f>(('85&amp;100 (2)'!Q18/(1+Korting!$B$3)*(1-Korting!$B$2)*Prijsmutaties!$B$9))</f>
        <v>896.20698548999985</v>
      </c>
      <c r="Q18" s="15">
        <f>(('85&amp;100 (2)'!R18/(1+Korting!$B$3)*(1-Korting!$B$2)*Prijsmutaties!$B$9))</f>
        <v>924.58534764545436</v>
      </c>
      <c r="R18" s="15">
        <f>(('85&amp;100 (2)'!S18/(1+Korting!$B$3)*(1-Korting!$B$2)*Prijsmutaties!$B$9))</f>
        <v>951.13284772636337</v>
      </c>
      <c r="S18" s="15">
        <f>(('85&amp;100 (2)'!T18/(1+Korting!$B$3)*(1-Korting!$B$2)*Prijsmutaties!$B$9))</f>
        <v>981.3420719563635</v>
      </c>
      <c r="T18" s="5">
        <v>160</v>
      </c>
    </row>
    <row r="19" spans="1:21" ht="16.5" customHeight="1">
      <c r="A19" s="538"/>
      <c r="B19" s="547"/>
      <c r="C19" s="9">
        <v>180</v>
      </c>
      <c r="D19" s="10">
        <f>(('85&amp;100 (2)'!D19/(1+Korting!$B$3)*(1-Korting!$B$2)*Prijsmutaties!$B$9))</f>
        <v>594.1147431899999</v>
      </c>
      <c r="E19" s="10">
        <f>(('85&amp;100 (2)'!E19/(1+Korting!$B$3)*(1-Korting!$B$2)*Prijsmutaties!$B$9))</f>
        <v>622.49310534545441</v>
      </c>
      <c r="F19" s="10">
        <f>(('85&amp;100 (2)'!F19/(1+Korting!$B$3)*(1-Korting!$B$2)*Prijsmutaties!$B$9))</f>
        <v>652.70232957545443</v>
      </c>
      <c r="G19" s="10">
        <f>(('85&amp;100 (2)'!G19/(1+Korting!$B$3)*(1-Korting!$B$2)*Prijsmutaties!$B$9))</f>
        <v>679.24982965636354</v>
      </c>
      <c r="H19" s="10">
        <f>(('85&amp;100 (2)'!H19/(1+Korting!$B$3)*(1-Korting!$B$2)*Prijsmutaties!$B$9))</f>
        <v>703.05103662545446</v>
      </c>
      <c r="I19" s="10">
        <f>(('85&amp;100 (2)'!I19/(1+Korting!$B$3)*(1-Korting!$B$2)*Prijsmutaties!$B$9))</f>
        <v>733.26026085545448</v>
      </c>
      <c r="J19" s="10">
        <f>(('85&amp;100 (2)'!J19/(1+Korting!$B$3)*(1-Korting!$B$2)*Prijsmutaties!$B$9))</f>
        <v>763.46948508545438</v>
      </c>
      <c r="K19" s="10">
        <f>(('85&amp;100 (2)'!K19/(1+Korting!$B$3)*(1-Korting!$B$2)*Prijsmutaties!$B$9))</f>
        <v>790.01698516636338</v>
      </c>
      <c r="L19" s="10">
        <f>(('85&amp;100 (2)'!L19/(1+Korting!$B$3)*(1-Korting!$B$2)*Prijsmutaties!$B$9))</f>
        <v>813.8181921354543</v>
      </c>
      <c r="M19" s="189">
        <f>(('85&amp;100 (2)'!M19/(1+Korting!$B$3)*(1-Korting!$B$2)*Prijsmutaties!$B$9))</f>
        <v>845.97819990588255</v>
      </c>
      <c r="N19" s="10">
        <f>(('85&amp;100 (2)'!O19/(1+Korting!$B$3)*(1-Korting!$B$2)*Prijsmutaties!$B$9))</f>
        <v>874.23664059545422</v>
      </c>
      <c r="O19" s="10">
        <f>(('85&amp;100 (2)'!P19/(1+Korting!$B$3)*(1-Korting!$B$2)*Prijsmutaties!$B$9))</f>
        <v>902.61500275090884</v>
      </c>
      <c r="P19" s="10">
        <f>(('85&amp;100 (2)'!Q19/(1+Korting!$B$3)*(1-Korting!$B$2)*Prijsmutaties!$B$9))</f>
        <v>932.82422698090886</v>
      </c>
      <c r="Q19" s="10">
        <f>(('85&amp;100 (2)'!R19/(1+Korting!$B$3)*(1-Korting!$B$2)*Prijsmutaties!$B$9))</f>
        <v>954.79457187545438</v>
      </c>
      <c r="R19" s="10">
        <f>(('85&amp;100 (2)'!S19/(1+Korting!$B$3)*(1-Korting!$B$2)*Prijsmutaties!$B$9))</f>
        <v>986.83465817999968</v>
      </c>
      <c r="S19" s="10">
        <f>(('85&amp;100 (2)'!T19/(1+Korting!$B$3)*(1-Korting!$B$2)*Prijsmutaties!$B$9))</f>
        <v>1013.382158260909</v>
      </c>
      <c r="T19" s="13">
        <v>180</v>
      </c>
    </row>
    <row r="20" spans="1:21" ht="16.5" customHeight="1">
      <c r="A20" s="538"/>
      <c r="B20" s="547"/>
      <c r="C20" s="14">
        <v>200</v>
      </c>
      <c r="D20" s="15">
        <f>(('85&amp;100 (2)'!D20/(1+Korting!$B$3)*(1-Korting!$B$2)*Prijsmutaties!$B$9))</f>
        <v>606.0153466745453</v>
      </c>
      <c r="E20" s="15">
        <f>(('85&amp;100 (2)'!E20/(1+Korting!$B$3)*(1-Korting!$B$2)*Prijsmutaties!$B$9))</f>
        <v>634.39370882999981</v>
      </c>
      <c r="F20" s="15">
        <f>(('85&amp;100 (2)'!F20/(1+Korting!$B$3)*(1-Korting!$B$2)*Prijsmutaties!$B$9))</f>
        <v>666.43379513454522</v>
      </c>
      <c r="G20" s="15">
        <f>(('85&amp;100 (2)'!G20/(1+Korting!$B$3)*(1-Korting!$B$2)*Prijsmutaties!$B$9))</f>
        <v>691.15043314090894</v>
      </c>
      <c r="H20" s="15">
        <f>(('85&amp;100 (2)'!H20/(1+Korting!$B$3)*(1-Korting!$B$2)*Prijsmutaties!$B$9))</f>
        <v>725.02138151999986</v>
      </c>
      <c r="I20" s="15">
        <f>(('85&amp;100 (2)'!I20/(1+Korting!$B$3)*(1-Korting!$B$2)*Prijsmutaties!$B$9))</f>
        <v>751.56888160090887</v>
      </c>
      <c r="J20" s="15">
        <f>(('85&amp;100 (2)'!J20/(1+Korting!$B$3)*(1-Korting!$B$2)*Prijsmutaties!$B$9))</f>
        <v>779.94724375636349</v>
      </c>
      <c r="K20" s="15">
        <f>(('85&amp;100 (2)'!K20/(1+Korting!$B$3)*(1-Korting!$B$2)*Prijsmutaties!$B$9))</f>
        <v>810.15646798636351</v>
      </c>
      <c r="L20" s="15">
        <f>(('85&amp;100 (2)'!L20/(1+Korting!$B$3)*(1-Korting!$B$2)*Prijsmutaties!$B$9))</f>
        <v>844.02741636545431</v>
      </c>
      <c r="M20" s="190">
        <f>(('85&amp;100 (2)'!M20/(1+Korting!$B$3)*(1-Korting!$B$2)*Prijsmutaties!$B$9))</f>
        <v>866.37491884735607</v>
      </c>
      <c r="N20" s="15">
        <f>(('85&amp;100 (2)'!O20/(1+Korting!$B$3)*(1-Korting!$B$2)*Prijsmutaties!$B$9))</f>
        <v>894.37612341545434</v>
      </c>
      <c r="O20" s="15">
        <f>(('85&amp;100 (2)'!P20/(1+Korting!$B$3)*(1-Korting!$B$2)*Prijsmutaties!$B$9))</f>
        <v>922.75448557090886</v>
      </c>
      <c r="P20" s="15">
        <f>(('85&amp;100 (2)'!Q20/(1+Korting!$B$3)*(1-Korting!$B$2)*Prijsmutaties!$B$9))</f>
        <v>951.13284772636337</v>
      </c>
      <c r="Q20" s="15">
        <f>(('85&amp;100 (2)'!R20/(1+Korting!$B$3)*(1-Korting!$B$2)*Prijsmutaties!$B$9))</f>
        <v>983.17293403090889</v>
      </c>
      <c r="R20" s="15">
        <f>(('85&amp;100 (2)'!S20/(1+Korting!$B$3)*(1-Korting!$B$2)*Prijsmutaties!$B$9))</f>
        <v>1010.6358651490908</v>
      </c>
      <c r="S20" s="15">
        <f>(('85&amp;100 (2)'!T20/(1+Korting!$B$3)*(1-Korting!$B$2)*Prijsmutaties!$B$9))</f>
        <v>1043.5913824909087</v>
      </c>
      <c r="T20" s="5">
        <v>200</v>
      </c>
    </row>
    <row r="21" spans="1:21" ht="16.5" customHeight="1" thickBot="1">
      <c r="A21" s="538"/>
      <c r="B21" s="547"/>
      <c r="C21" s="330">
        <v>220</v>
      </c>
      <c r="D21" s="262">
        <f>(('85&amp;100 (2)'!D21/(1+Korting!$B$3)*(1-Korting!$B$2)*Prijsmutaties!$B$9))</f>
        <v>634.39370882999981</v>
      </c>
      <c r="E21" s="262">
        <f>(('85&amp;100 (2)'!E21/(1+Korting!$B$3)*(1-Korting!$B$2)*Prijsmutaties!$B$9))</f>
        <v>666.43379513454522</v>
      </c>
      <c r="F21" s="262">
        <f>(('85&amp;100 (2)'!F21/(1+Korting!$B$3)*(1-Korting!$B$2)*Prijsmutaties!$B$9))</f>
        <v>694.81215728999985</v>
      </c>
      <c r="G21" s="262">
        <f>(('85&amp;100 (2)'!G21/(1+Korting!$B$3)*(1-Korting!$B$2)*Prijsmutaties!$B$9))</f>
        <v>731.42939878090885</v>
      </c>
      <c r="H21" s="262">
        <f>(('85&amp;100 (2)'!H21/(1+Korting!$B$3)*(1-Korting!$B$2)*Prijsmutaties!$B$9))</f>
        <v>763.46948508545438</v>
      </c>
      <c r="I21" s="262">
        <f>(('85&amp;100 (2)'!I21/(1+Korting!$B$3)*(1-Korting!$B$2)*Prijsmutaties!$B$9))</f>
        <v>793.6787093154544</v>
      </c>
      <c r="J21" s="262">
        <f>(('85&amp;100 (2)'!J21/(1+Korting!$B$3)*(1-Korting!$B$2)*Prijsmutaties!$B$9))</f>
        <v>823.88793354545442</v>
      </c>
      <c r="K21" s="262">
        <f>(('85&amp;100 (2)'!K21/(1+Korting!$B$3)*(1-Korting!$B$2)*Prijsmutaties!$B$9))</f>
        <v>855.92801984999983</v>
      </c>
      <c r="L21" s="262">
        <f>(('85&amp;100 (2)'!L21/(1+Korting!$B$3)*(1-Korting!$B$2)*Prijsmutaties!$B$9))</f>
        <v>887.96810615454524</v>
      </c>
      <c r="M21" s="358">
        <f>(('85&amp;100 (2)'!M21/(1+Korting!$B$3)*(1-Korting!$B$2)*Prijsmutaties!$B$9))</f>
        <v>922.70871401904515</v>
      </c>
      <c r="N21" s="262">
        <f>(('85&amp;100 (2)'!O21/(1+Korting!$B$3)*(1-Korting!$B$2)*Prijsmutaties!$B$9))</f>
        <v>952.96370980090887</v>
      </c>
      <c r="O21" s="262">
        <f>(('85&amp;100 (2)'!P21/(1+Korting!$B$3)*(1-Korting!$B$2)*Prijsmutaties!$B$9))</f>
        <v>986.83465817999968</v>
      </c>
      <c r="P21" s="262">
        <f>(('85&amp;100 (2)'!Q21/(1+Korting!$B$3)*(1-Korting!$B$2)*Prijsmutaties!$B$9))</f>
        <v>1017.0438824099998</v>
      </c>
      <c r="Q21" s="262">
        <f>(('85&amp;100 (2)'!R21/(1+Korting!$B$3)*(1-Korting!$B$2)*Prijsmutaties!$B$9))</f>
        <v>1050.9148307890907</v>
      </c>
      <c r="R21" s="359"/>
      <c r="S21" s="359"/>
      <c r="T21" s="307">
        <v>220</v>
      </c>
    </row>
    <row r="22" spans="1:21" ht="16.5" customHeight="1">
      <c r="A22" s="538"/>
      <c r="B22" s="547"/>
      <c r="C22" s="360">
        <v>240</v>
      </c>
      <c r="D22" s="334">
        <f>(('85&amp;100 (2)'!D22/(1+Korting!$B$3)*(1-Korting!$B$2)*Prijsmutaties!$B$9))</f>
        <v>638.97086401636352</v>
      </c>
      <c r="E22" s="334">
        <f>(('85&amp;100 (2)'!E22/(1+Korting!$B$3)*(1-Korting!$B$2)*Prijsmutaties!$B$9))</f>
        <v>672.84181239545433</v>
      </c>
      <c r="F22" s="334">
        <f>(('85&amp;100 (2)'!F22/(1+Korting!$B$3)*(1-Korting!$B$2)*Prijsmutaties!$B$9))</f>
        <v>703.05103662545446</v>
      </c>
      <c r="G22" s="334">
        <f>(('85&amp;100 (2)'!G22/(1+Korting!$B$3)*(1-Korting!$B$2)*Prijsmutaties!$B$9))</f>
        <v>736.92198500454526</v>
      </c>
      <c r="H22" s="334">
        <f>(('85&amp;100 (2)'!H22/(1+Korting!$B$3)*(1-Korting!$B$2)*Prijsmutaties!$B$9))</f>
        <v>771.70836442090888</v>
      </c>
      <c r="I22" s="334">
        <f>(('85&amp;100 (2)'!I22/(1+Korting!$B$3)*(1-Korting!$B$2)*Prijsmutaties!$B$9))</f>
        <v>803.7484507254544</v>
      </c>
      <c r="J22" s="334">
        <f>(('85&amp;100 (2)'!J22/(1+Korting!$B$3)*(1-Korting!$B$2)*Prijsmutaties!$B$9))</f>
        <v>833.95767495545442</v>
      </c>
      <c r="K22" s="334">
        <f>(('85&amp;100 (2)'!K22/(1+Korting!$B$3)*(1-Korting!$B$2)*Prijsmutaties!$B$9))</f>
        <v>870.57491644636355</v>
      </c>
      <c r="L22" s="334">
        <f>(('85&amp;100 (2)'!L22/(1+Korting!$B$3)*(1-Korting!$B$2)*Prijsmutaties!$B$9))</f>
        <v>902.61500275090884</v>
      </c>
      <c r="M22" s="361">
        <f>(('85&amp;100 (2)'!M22/(1+Korting!$B$3)*(1-Korting!$B$2)*Prijsmutaties!$B$9))</f>
        <v>934.36398198560153</v>
      </c>
      <c r="N22" s="334">
        <f>(('85&amp;100 (2)'!O22/(1+Korting!$B$3)*(1-Korting!$B$2)*Prijsmutaties!$B$9))</f>
        <v>963.03345121090899</v>
      </c>
      <c r="O22" s="334">
        <f>(('85&amp;100 (2)'!P22/(1+Korting!$B$3)*(1-Korting!$B$2)*Prijsmutaties!$B$9))</f>
        <v>1003.3124168509089</v>
      </c>
      <c r="P22" s="332"/>
      <c r="Q22" s="332"/>
      <c r="R22" s="332"/>
      <c r="S22" s="332"/>
      <c r="T22" s="362">
        <v>240</v>
      </c>
    </row>
    <row r="23" spans="1:21" ht="16.5" customHeight="1">
      <c r="A23" s="538"/>
      <c r="B23" s="599"/>
      <c r="C23" s="339">
        <v>260</v>
      </c>
      <c r="D23" s="10">
        <f>(('85&amp;100 (2)'!D23/(1+Korting!$B$3)*(1-Korting!$B$2)*Prijsmutaties!$B$9))</f>
        <v>669.18008824636354</v>
      </c>
      <c r="E23" s="10">
        <f>(('85&amp;100 (2)'!E23/(1+Korting!$B$3)*(1-Korting!$B$2)*Prijsmutaties!$B$9))</f>
        <v>696.64301936454535</v>
      </c>
      <c r="F23" s="10">
        <f>(('85&amp;100 (2)'!F23/(1+Korting!$B$3)*(1-Korting!$B$2)*Prijsmutaties!$B$9))</f>
        <v>736.92198500454526</v>
      </c>
      <c r="G23" s="10">
        <f>(('85&amp;100 (2)'!G23/(1+Korting!$B$3)*(1-Korting!$B$2)*Prijsmutaties!$B$9))</f>
        <v>777.20095064454529</v>
      </c>
      <c r="H23" s="10">
        <f>(('85&amp;100 (2)'!H23/(1+Korting!$B$3)*(1-Korting!$B$2)*Prijsmutaties!$B$9))</f>
        <v>810.15646798636351</v>
      </c>
      <c r="I23" s="10">
        <f>(('85&amp;100 (2)'!I23/(1+Korting!$B$3)*(1-Korting!$B$2)*Prijsmutaties!$B$9))</f>
        <v>845.85827843999994</v>
      </c>
      <c r="J23" s="10">
        <f>(('85&amp;100 (2)'!J23/(1+Korting!$B$3)*(1-Korting!$B$2)*Prijsmutaties!$B$9))</f>
        <v>884.30638200545434</v>
      </c>
      <c r="K23" s="10">
        <f>(('85&amp;100 (2)'!K23/(1+Korting!$B$3)*(1-Korting!$B$2)*Prijsmutaties!$B$9))</f>
        <v>916.34646830999986</v>
      </c>
      <c r="L23" s="10">
        <f>(('85&amp;100 (2)'!L23/(1+Korting!$B$3)*(1-Korting!$B$2)*Prijsmutaties!$B$9))</f>
        <v>951.13284772636337</v>
      </c>
      <c r="M23" s="189">
        <f>(('85&amp;100 (2)'!M23/(1+Korting!$B$3)*(1-Korting!$B$2)*Prijsmutaties!$B$9))</f>
        <v>990.6977771572906</v>
      </c>
      <c r="N23" s="10">
        <f>(('85&amp;100 (2)'!O23/(1+Korting!$B$3)*(1-Korting!$B$2)*Prijsmutaties!$B$9))</f>
        <v>1025.2827617454543</v>
      </c>
      <c r="O23" s="225"/>
      <c r="P23" s="225"/>
      <c r="Q23" s="225"/>
      <c r="R23" s="225"/>
      <c r="S23" s="225"/>
      <c r="T23" s="363">
        <v>260</v>
      </c>
    </row>
    <row r="24" spans="1:21" ht="16.5" customHeight="1" thickBot="1">
      <c r="A24" s="294"/>
      <c r="B24" s="599"/>
      <c r="C24" s="364">
        <v>280</v>
      </c>
      <c r="D24" s="343">
        <f>(('85&amp;100 (2)'!D24/(1+Korting!$B$3)*(1-Korting!$B$2)*Prijsmutaties!$B$9))</f>
        <v>674.67267446999995</v>
      </c>
      <c r="E24" s="343">
        <f>(('85&amp;100 (2)'!E24/(1+Korting!$B$3)*(1-Korting!$B$2)*Prijsmutaties!$B$9))</f>
        <v>716.78250218454525</v>
      </c>
      <c r="F24" s="343">
        <f>(('85&amp;100 (2)'!F24/(1+Korting!$B$3)*(1-Korting!$B$2)*Prijsmutaties!$B$9))</f>
        <v>746.99172641454527</v>
      </c>
      <c r="G24" s="343">
        <f>(('85&amp;100 (2)'!G24/(1+Korting!$B$3)*(1-Korting!$B$2)*Prijsmutaties!$B$9))</f>
        <v>787.27069205454541</v>
      </c>
      <c r="H24" s="343">
        <f>(('85&amp;100 (2)'!H24/(1+Korting!$B$3)*(1-Korting!$B$2)*Prijsmutaties!$B$9))</f>
        <v>817.47991628454531</v>
      </c>
      <c r="I24" s="343">
        <f>(('85&amp;100 (2)'!I24/(1+Korting!$B$3)*(1-Korting!$B$2)*Prijsmutaties!$B$9))</f>
        <v>854.09715777545432</v>
      </c>
      <c r="J24" s="343">
        <f>(('85&amp;100 (2)'!J24/(1+Korting!$B$3)*(1-Korting!$B$2)*Prijsmutaties!$B$9))</f>
        <v>890.71439926636344</v>
      </c>
      <c r="K24" s="343">
        <f>(('85&amp;100 (2)'!K24/(1+Korting!$B$3)*(1-Korting!$B$2)*Prijsmutaties!$B$9))</f>
        <v>926.41620971999976</v>
      </c>
      <c r="L24" s="343">
        <f>(('85&amp;100 (2)'!L24/(1+Korting!$B$3)*(1-Korting!$B$2)*Prijsmutaties!$B$9))</f>
        <v>961.20258913636337</v>
      </c>
      <c r="M24" s="365">
        <f>(('85&amp;100 (2)'!M24/(1+Korting!$B$3)*(1-Korting!$B$2)*Prijsmutaties!$B$9))</f>
        <v>1003.3243174543933</v>
      </c>
      <c r="N24" s="341"/>
      <c r="O24" s="341"/>
      <c r="P24" s="341"/>
      <c r="Q24" s="341"/>
      <c r="R24" s="341"/>
      <c r="S24" s="341"/>
      <c r="T24" s="366">
        <v>280</v>
      </c>
    </row>
    <row r="25" spans="1:21" ht="15.95" customHeight="1">
      <c r="A25" s="294"/>
      <c r="B25" s="599"/>
      <c r="C25" s="600"/>
      <c r="D25" s="600"/>
      <c r="E25" s="600"/>
      <c r="F25" s="600"/>
      <c r="G25" s="600"/>
      <c r="H25" s="600"/>
      <c r="I25" s="600"/>
      <c r="J25" s="600"/>
      <c r="K25" s="600"/>
      <c r="L25" s="600"/>
      <c r="M25" s="600"/>
      <c r="N25" s="600"/>
      <c r="O25" s="600"/>
      <c r="P25" s="600"/>
      <c r="Q25" s="600"/>
      <c r="R25" s="600"/>
      <c r="S25" s="600"/>
      <c r="T25" s="600"/>
    </row>
    <row r="26" spans="1:21" ht="16.5" customHeight="1">
      <c r="A26" s="294"/>
      <c r="B26" s="599"/>
      <c r="C26" s="30"/>
      <c r="D26" s="534" t="s">
        <v>3</v>
      </c>
      <c r="E26" s="535"/>
      <c r="F26" s="535"/>
      <c r="G26" s="535"/>
      <c r="H26" s="535"/>
      <c r="I26" s="535"/>
      <c r="J26" s="535"/>
      <c r="K26" s="536"/>
      <c r="L26" s="75"/>
      <c r="M26" s="193"/>
      <c r="N26" s="75"/>
      <c r="O26" s="75"/>
      <c r="P26" s="75"/>
      <c r="Q26" s="75"/>
      <c r="R26" s="75"/>
      <c r="S26" s="75"/>
      <c r="T26" s="75"/>
    </row>
    <row r="27" spans="1:21" ht="16.5" customHeight="1">
      <c r="A27" s="294"/>
      <c r="B27" s="599"/>
      <c r="C27" s="31" t="s">
        <v>4</v>
      </c>
      <c r="D27" s="13">
        <v>100</v>
      </c>
      <c r="E27" s="13">
        <v>120</v>
      </c>
      <c r="F27" s="13">
        <v>140</v>
      </c>
      <c r="G27" s="13">
        <v>160</v>
      </c>
      <c r="H27" s="13">
        <v>180</v>
      </c>
      <c r="I27" s="13">
        <v>200</v>
      </c>
      <c r="J27" s="13">
        <v>220</v>
      </c>
      <c r="K27" s="13">
        <v>240</v>
      </c>
      <c r="L27" s="13">
        <v>260</v>
      </c>
      <c r="M27" s="194">
        <v>280</v>
      </c>
      <c r="N27" s="13">
        <v>300</v>
      </c>
      <c r="O27" s="13">
        <v>320</v>
      </c>
      <c r="P27" s="13">
        <v>340</v>
      </c>
      <c r="Q27" s="13">
        <v>360</v>
      </c>
      <c r="R27" s="13">
        <v>380</v>
      </c>
      <c r="S27" s="13">
        <v>400</v>
      </c>
      <c r="T27" s="18"/>
    </row>
    <row r="28" spans="1:21" ht="16.5" customHeight="1">
      <c r="A28" s="294"/>
      <c r="B28" s="599"/>
      <c r="C28" s="34" t="s">
        <v>5</v>
      </c>
      <c r="D28" s="15">
        <f>(('85&amp;100 (2)'!D28/(1+Korting!$B$3)*(1-Korting!$B$2)*Prijsmutaties!$B$9))</f>
        <v>197.73310405090902</v>
      </c>
      <c r="E28" s="15">
        <f>(('85&amp;100 (2)'!E28/(1+Korting!$B$3)*(1-Korting!$B$2)*Prijsmutaties!$B$9))</f>
        <v>197.73310405090902</v>
      </c>
      <c r="F28" s="15">
        <f>(('85&amp;100 (2)'!F28/(1+Korting!$B$3)*(1-Korting!$B$2)*Prijsmutaties!$B$9))</f>
        <v>197.73310405090902</v>
      </c>
      <c r="G28" s="15">
        <f>(('85&amp;100 (2)'!G28/(1+Korting!$B$3)*(1-Korting!$B$2)*Prijsmutaties!$B$9))</f>
        <v>197.73310405090902</v>
      </c>
      <c r="H28" s="15">
        <f>(('85&amp;100 (2)'!H28/(1+Korting!$B$3)*(1-Korting!$B$2)*Prijsmutaties!$B$9))</f>
        <v>197.73310405090902</v>
      </c>
      <c r="I28" s="15">
        <f>(('85&amp;100 (2)'!I28/(1+Korting!$B$3)*(1-Korting!$B$2)*Prijsmutaties!$B$9))</f>
        <v>254.48982836181813</v>
      </c>
      <c r="J28" s="15">
        <f>(('85&amp;100 (2)'!J28/(1+Korting!$B$3)*(1-Korting!$B$2)*Prijsmutaties!$B$9))</f>
        <v>254.48982836181813</v>
      </c>
      <c r="K28" s="15">
        <f>(('85&amp;100 (2)'!K28/(1+Korting!$B$3)*(1-Korting!$B$2)*Prijsmutaties!$B$9))</f>
        <v>254.48982836181813</v>
      </c>
      <c r="L28" s="15">
        <f>(('85&amp;100 (2)'!L28/(1+Korting!$B$3)*(1-Korting!$B$2)*Prijsmutaties!$B$9))</f>
        <v>254.48982836181813</v>
      </c>
      <c r="M28" s="190">
        <f>(('85&amp;100 (2)'!M28/(1+Korting!$B$3)*(1-Korting!$B$2)*Prijsmutaties!$B$9))</f>
        <v>254.49277604975811</v>
      </c>
      <c r="N28" s="15">
        <f>(('85&amp;100 (2)'!O28/(1+Korting!$B$3)*(1-Korting!$B$2)*Prijsmutaties!$B$9))</f>
        <v>310.33112163545451</v>
      </c>
      <c r="O28" s="15">
        <f>(('85&amp;100 (2)'!P28/(1+Korting!$B$3)*(1-Korting!$B$2)*Prijsmutaties!$B$9))</f>
        <v>310.33112163545451</v>
      </c>
      <c r="P28" s="15">
        <f>(('85&amp;100 (2)'!Q28/(1+Korting!$B$3)*(1-Korting!$B$2)*Prijsmutaties!$B$9))</f>
        <v>310.33112163545451</v>
      </c>
      <c r="Q28" s="15">
        <f>(('85&amp;100 (2)'!R28/(1+Korting!$B$3)*(1-Korting!$B$2)*Prijsmutaties!$B$9))</f>
        <v>310.33112163545451</v>
      </c>
      <c r="R28" s="15">
        <f>(('85&amp;100 (2)'!S28/(1+Korting!$B$3)*(1-Korting!$B$2)*Prijsmutaties!$B$9))</f>
        <v>310.33112163545451</v>
      </c>
      <c r="S28" s="15">
        <f>(('85&amp;100 (2)'!T28/(1+Korting!$B$3)*(1-Korting!$B$2)*Prijsmutaties!$B$9))</f>
        <v>367.08784594636359</v>
      </c>
      <c r="T28" s="8"/>
    </row>
    <row r="29" spans="1:21" ht="16.5" customHeight="1">
      <c r="A29" s="294"/>
      <c r="B29" s="599"/>
      <c r="C29" s="31" t="s">
        <v>6</v>
      </c>
      <c r="D29" s="10">
        <f>(('85&amp;100 (2)'!D29/(1+Korting!$B$3)*(1-Korting!$B$2)*Prijsmutaties!$B$9))</f>
        <v>98.86655202545451</v>
      </c>
      <c r="E29" s="10">
        <f>(('85&amp;100 (2)'!E29/(1+Korting!$B$3)*(1-Korting!$B$2)*Prijsmutaties!$B$9))</f>
        <v>98.86655202545451</v>
      </c>
      <c r="F29" s="10">
        <f>(('85&amp;100 (2)'!F29/(1+Korting!$B$3)*(1-Korting!$B$2)*Prijsmutaties!$B$9))</f>
        <v>98.86655202545451</v>
      </c>
      <c r="G29" s="10">
        <f>(('85&amp;100 (2)'!G29/(1+Korting!$B$3)*(1-Korting!$B$2)*Prijsmutaties!$B$9))</f>
        <v>98.86655202545451</v>
      </c>
      <c r="H29" s="10">
        <f>(('85&amp;100 (2)'!H29/(1+Korting!$B$3)*(1-Korting!$B$2)*Prijsmutaties!$B$9))</f>
        <v>98.86655202545451</v>
      </c>
      <c r="I29" s="10">
        <f>(('85&amp;100 (2)'!I29/(1+Korting!$B$3)*(1-Korting!$B$2)*Prijsmutaties!$B$9))</f>
        <v>127.24491418090906</v>
      </c>
      <c r="J29" s="10">
        <f>(('85&amp;100 (2)'!J29/(1+Korting!$B$3)*(1-Korting!$B$2)*Prijsmutaties!$B$9))</f>
        <v>127.24491418090906</v>
      </c>
      <c r="K29" s="10">
        <f>(('85&amp;100 (2)'!K29/(1+Korting!$B$3)*(1-Korting!$B$2)*Prijsmutaties!$B$9))</f>
        <v>127.24491418090906</v>
      </c>
      <c r="L29" s="10">
        <f>(('85&amp;100 (2)'!L29/(1+Korting!$B$3)*(1-Korting!$B$2)*Prijsmutaties!$B$9))</f>
        <v>127.24491418090906</v>
      </c>
      <c r="M29" s="189">
        <f>(('85&amp;100 (2)'!M29/(1+Korting!$B$3)*(1-Korting!$B$2)*Prijsmutaties!$B$9))</f>
        <v>127.24638802487905</v>
      </c>
      <c r="N29" s="10">
        <f>(('85&amp;100 (2)'!O29/(1+Korting!$B$3)*(1-Korting!$B$2)*Prijsmutaties!$B$9))</f>
        <v>155.16556081772725</v>
      </c>
      <c r="O29" s="10">
        <f>(('85&amp;100 (2)'!P29/(1+Korting!$B$3)*(1-Korting!$B$2)*Prijsmutaties!$B$9))</f>
        <v>155.16556081772725</v>
      </c>
      <c r="P29" s="10">
        <f>(('85&amp;100 (2)'!Q29/(1+Korting!$B$3)*(1-Korting!$B$2)*Prijsmutaties!$B$9))</f>
        <v>155.16556081772725</v>
      </c>
      <c r="Q29" s="10">
        <f>(('85&amp;100 (2)'!R29/(1+Korting!$B$3)*(1-Korting!$B$2)*Prijsmutaties!$B$9))</f>
        <v>155.16556081772725</v>
      </c>
      <c r="R29" s="10">
        <f>(('85&amp;100 (2)'!S29/(1+Korting!$B$3)*(1-Korting!$B$2)*Prijsmutaties!$B$9))</f>
        <v>155.16556081772725</v>
      </c>
      <c r="S29" s="10">
        <f>(('85&amp;100 (2)'!T29/(1+Korting!$B$3)*(1-Korting!$B$2)*Prijsmutaties!$B$9))</f>
        <v>183.54392297318179</v>
      </c>
      <c r="T29" s="18"/>
    </row>
    <row r="30" spans="1:21" ht="15.95" customHeight="1" thickBot="1">
      <c r="A30" s="2"/>
      <c r="B30" s="367"/>
      <c r="C30" s="570"/>
      <c r="D30" s="570"/>
      <c r="E30" s="570"/>
      <c r="F30" s="570"/>
      <c r="G30" s="570"/>
      <c r="H30" s="570"/>
      <c r="I30" s="570"/>
      <c r="J30" s="570"/>
      <c r="K30" s="570"/>
      <c r="L30" s="570"/>
      <c r="M30" s="570"/>
      <c r="N30" s="570"/>
      <c r="O30" s="570"/>
      <c r="P30" s="570"/>
      <c r="Q30" s="570"/>
      <c r="R30" s="570"/>
      <c r="S30" s="570"/>
      <c r="T30" s="570"/>
    </row>
    <row r="31" spans="1:21" ht="17.850000000000001" customHeight="1" thickTop="1" thickBot="1">
      <c r="A31" s="311"/>
      <c r="B31" s="311"/>
      <c r="C31" s="601" t="s">
        <v>477</v>
      </c>
      <c r="D31" s="602"/>
      <c r="E31" s="602"/>
      <c r="F31" s="602"/>
      <c r="G31" s="602"/>
      <c r="H31" s="602"/>
      <c r="I31" s="602"/>
      <c r="J31" s="603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</row>
    <row r="32" spans="1:21" ht="17.850000000000001" customHeight="1">
      <c r="A32" s="352"/>
      <c r="B32" s="352"/>
      <c r="C32" s="504"/>
      <c r="D32" s="504"/>
      <c r="E32" s="504"/>
      <c r="F32" s="504"/>
      <c r="G32" s="504"/>
      <c r="H32" s="504"/>
      <c r="I32" s="504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</row>
    <row r="33" spans="1:13" ht="17.100000000000001" customHeight="1">
      <c r="A33" s="571" t="s">
        <v>7</v>
      </c>
      <c r="B33" s="571"/>
      <c r="C33" s="571"/>
      <c r="D33" s="571"/>
      <c r="E33" s="571"/>
      <c r="F33" s="571"/>
      <c r="G33" s="571"/>
      <c r="H33" s="571"/>
      <c r="I33" s="571"/>
      <c r="J33" s="571"/>
      <c r="K33" s="571"/>
      <c r="L33" s="571"/>
      <c r="M33" s="571"/>
    </row>
    <row r="34" spans="1:13" ht="17.100000000000001" customHeight="1">
      <c r="A34" s="539" t="s">
        <v>375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1"/>
      <c r="L34" s="552">
        <f>(('85&amp;100 (2)'!L33/(1+Korting!$B$3)*(1-Korting!$B$2)*Prijsmutaties!$G$9))</f>
        <v>246.97001322314046</v>
      </c>
      <c r="M34" s="553">
        <f>(('85&amp;100 (2)'!M33/(1+Korting!$B$3)*(1-Korting!$B$2)))</f>
        <v>0</v>
      </c>
    </row>
    <row r="35" spans="1:13" ht="18.2" customHeight="1">
      <c r="A35" s="542" t="s">
        <v>15</v>
      </c>
      <c r="B35" s="543"/>
      <c r="C35" s="543"/>
      <c r="D35" s="543"/>
      <c r="E35" s="543"/>
      <c r="F35" s="543"/>
      <c r="G35" s="543"/>
      <c r="H35" s="543"/>
      <c r="I35" s="543"/>
      <c r="J35" s="543"/>
      <c r="K35" s="544"/>
      <c r="L35" s="550">
        <f>(('85&amp;100 (2)'!L34/(1+Korting!$B$3)*(1-Korting!$B$2)*Prijsmutaties!$G$9))</f>
        <v>81.121537190082634</v>
      </c>
      <c r="M35" s="551">
        <f>(('85&amp;100 (2)'!M34/(1+Korting!$B$3)*(1-Korting!$B$2)))</f>
        <v>0</v>
      </c>
    </row>
    <row r="36" spans="1:13" ht="18.2" customHeight="1">
      <c r="A36" s="605" t="s">
        <v>295</v>
      </c>
      <c r="B36" s="540"/>
      <c r="C36" s="540"/>
      <c r="D36" s="540"/>
      <c r="E36" s="540"/>
      <c r="F36" s="540"/>
      <c r="G36" s="540"/>
      <c r="H36" s="540"/>
      <c r="I36" s="540"/>
      <c r="J36" s="540"/>
      <c r="K36" s="541"/>
      <c r="L36" s="552">
        <f>(('85&amp;100 (2)'!L35/(1+Korting!$B$3)*(1-Korting!$B$2)*Prijsmutaties!$G$9))</f>
        <v>164.49645041322313</v>
      </c>
      <c r="M36" s="553">
        <f>(('85&amp;100 (2)'!M35/(1+Korting!$B$3)*(1-Korting!$B$2)))</f>
        <v>0</v>
      </c>
    </row>
    <row r="37" spans="1:13" ht="18.2" customHeight="1">
      <c r="A37" s="542" t="s">
        <v>298</v>
      </c>
      <c r="B37" s="543"/>
      <c r="C37" s="543"/>
      <c r="D37" s="543"/>
      <c r="E37" s="543"/>
      <c r="F37" s="543"/>
      <c r="G37" s="543"/>
      <c r="H37" s="543"/>
      <c r="I37" s="543"/>
      <c r="J37" s="543"/>
      <c r="K37" s="544"/>
      <c r="L37" s="550">
        <f>(('85&amp;100 (2)'!L36/(1+Korting!$B$3)*(1-Korting!$B$2)*Prijsmutaties!$G$9))</f>
        <v>177.56603140495866</v>
      </c>
      <c r="M37" s="551">
        <f>(('85&amp;100 (2)'!M36/(1+Korting!$B$3)*(1-Korting!$B$2)))</f>
        <v>0</v>
      </c>
    </row>
    <row r="38" spans="1:13" ht="18.2" customHeight="1">
      <c r="A38" s="539" t="s">
        <v>297</v>
      </c>
      <c r="B38" s="540"/>
      <c r="C38" s="540"/>
      <c r="D38" s="540"/>
      <c r="E38" s="540"/>
      <c r="F38" s="540"/>
      <c r="G38" s="540"/>
      <c r="H38" s="540"/>
      <c r="I38" s="540"/>
      <c r="J38" s="540"/>
      <c r="K38" s="541"/>
      <c r="L38" s="552">
        <f>(('85&amp;100 (2)'!L37/(1+Korting!$B$3)*(1-Korting!$B$2)*Prijsmutaties!$G$9))</f>
        <v>55.883725619834706</v>
      </c>
      <c r="M38" s="553">
        <f>(('85&amp;100 (2)'!M37/(1+Korting!$B$3)*(1-Korting!$B$2)))</f>
        <v>0</v>
      </c>
    </row>
    <row r="39" spans="1:13" ht="18.2" customHeight="1">
      <c r="A39" s="542" t="s">
        <v>296</v>
      </c>
      <c r="B39" s="543"/>
      <c r="C39" s="543"/>
      <c r="D39" s="543"/>
      <c r="E39" s="543"/>
      <c r="F39" s="543"/>
      <c r="G39" s="543"/>
      <c r="H39" s="543"/>
      <c r="I39" s="543"/>
      <c r="J39" s="543"/>
      <c r="K39" s="544"/>
      <c r="L39" s="550">
        <f>(('85&amp;100 (2)'!L38/(1+Korting!$B$3)*(1-Korting!$B$2)*Prijsmutaties!$G$9))</f>
        <v>246.97001322314046</v>
      </c>
      <c r="M39" s="551">
        <f>(('85&amp;100 (2)'!M38/(1+Korting!$B$3)*(1-Korting!$B$2)))</f>
        <v>0</v>
      </c>
    </row>
    <row r="40" spans="1:13" ht="18.2" customHeight="1">
      <c r="A40" s="539" t="s">
        <v>9</v>
      </c>
      <c r="B40" s="540"/>
      <c r="C40" s="540"/>
      <c r="D40" s="540"/>
      <c r="E40" s="540"/>
      <c r="F40" s="540"/>
      <c r="G40" s="540"/>
      <c r="H40" s="540"/>
      <c r="I40" s="540"/>
      <c r="J40" s="540"/>
      <c r="K40" s="541"/>
      <c r="L40" s="552">
        <f>(('85&amp;100 (2)'!L39/(1+Korting!$B$3)*(1-Korting!$B$2)*Prijsmutaties!$G$9))</f>
        <v>63.094528925619827</v>
      </c>
      <c r="M40" s="553">
        <f>(('85&amp;100 (2)'!M39/(1+Korting!$B$3)*(1-Korting!$B$2)))</f>
        <v>0</v>
      </c>
    </row>
    <row r="41" spans="1:13" ht="18.2" customHeight="1">
      <c r="A41" s="542" t="s">
        <v>293</v>
      </c>
      <c r="B41" s="543"/>
      <c r="C41" s="604"/>
      <c r="D41" s="604"/>
      <c r="E41" s="604"/>
      <c r="F41" s="604"/>
      <c r="G41" s="604"/>
      <c r="H41" s="604"/>
      <c r="I41" s="543"/>
      <c r="J41" s="543"/>
      <c r="K41" s="544"/>
      <c r="L41" s="550">
        <f>(('85&amp;100 (2)'!L40/(1+Korting!$B$3)*(1-Korting!$B$2)*Prijsmutaties!$G$9))</f>
        <v>-51.376973553719004</v>
      </c>
      <c r="M41" s="551">
        <f>(('85&amp;100 (2)'!M40/(1+Korting!$B$3)*(1-Korting!$B$2)))</f>
        <v>0</v>
      </c>
    </row>
    <row r="42" spans="1:13" ht="16.5">
      <c r="C42" s="595" t="s">
        <v>292</v>
      </c>
      <c r="D42" s="596"/>
      <c r="E42" s="596"/>
      <c r="F42" s="596"/>
      <c r="G42" s="596"/>
      <c r="H42" s="597"/>
    </row>
  </sheetData>
  <sheetProtection algorithmName="SHA-512" hashValue="Hm7HyP8wnu9FXVe2/BJmyoRxitTCemS704kbmSfkl8+Zplaf/mwkdSY451qn0pqZs0WJSfekPjZxwPirbzNvSg==" saltValue="TfPPirTE75pQYbit574t8g==" spinCount="100000" sheet="1" objects="1" scenarios="1"/>
  <mergeCells count="27">
    <mergeCell ref="A1:U1"/>
    <mergeCell ref="B2:B22"/>
    <mergeCell ref="A35:K35"/>
    <mergeCell ref="L35:M35"/>
    <mergeCell ref="A41:K41"/>
    <mergeCell ref="L41:M41"/>
    <mergeCell ref="A36:K36"/>
    <mergeCell ref="L36:M36"/>
    <mergeCell ref="A37:K37"/>
    <mergeCell ref="L37:M37"/>
    <mergeCell ref="A38:K38"/>
    <mergeCell ref="L38:M38"/>
    <mergeCell ref="A39:K39"/>
    <mergeCell ref="L39:M39"/>
    <mergeCell ref="A40:K40"/>
    <mergeCell ref="L40:M40"/>
    <mergeCell ref="A34:K34"/>
    <mergeCell ref="L34:M34"/>
    <mergeCell ref="C42:H42"/>
    <mergeCell ref="C13:T13"/>
    <mergeCell ref="A2:A23"/>
    <mergeCell ref="B23:B29"/>
    <mergeCell ref="C30:T30"/>
    <mergeCell ref="C25:T25"/>
    <mergeCell ref="D26:K26"/>
    <mergeCell ref="A33:M33"/>
    <mergeCell ref="C31:J31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  <headerFooter>
    <oddFooter>&amp;L&amp;D&amp;C&amp;F
Tabblad &amp;A&amp;RInkoopprijslijst excl. BTW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B27-8192-4451-B564-396AD64AE7FB}">
  <sheetPr codeName="Blad7">
    <tabColor rgb="FF92D050"/>
  </sheetPr>
  <dimension ref="A1:U29"/>
  <sheetViews>
    <sheetView workbookViewId="0">
      <selection activeCell="L29" sqref="L29"/>
    </sheetView>
  </sheetViews>
  <sheetFormatPr defaultRowHeight="12.75"/>
  <cols>
    <col min="1" max="1" width="1.83203125" customWidth="1"/>
    <col min="2" max="2" width="2.6640625" customWidth="1"/>
    <col min="3" max="3" width="6.5" customWidth="1"/>
    <col min="4" max="4" width="6.83203125" customWidth="1"/>
    <col min="5" max="5" width="6.5" customWidth="1"/>
    <col min="6" max="6" width="6.6640625" customWidth="1"/>
    <col min="7" max="8" width="6.5" customWidth="1"/>
    <col min="9" max="9" width="6.6640625" customWidth="1"/>
    <col min="10" max="10" width="6.5" customWidth="1"/>
    <col min="11" max="11" width="5.83203125" bestFit="1" customWidth="1"/>
    <col min="12" max="12" width="6.5" customWidth="1"/>
    <col min="13" max="13" width="6.1640625" bestFit="1" customWidth="1"/>
    <col min="14" max="14" width="6.5" customWidth="1"/>
    <col min="15" max="15" width="6.83203125" customWidth="1"/>
    <col min="16" max="16" width="6.1640625" customWidth="1"/>
    <col min="17" max="17" width="6.1640625" bestFit="1" customWidth="1"/>
    <col min="18" max="18" width="6.6640625" customWidth="1"/>
    <col min="19" max="19" width="6.5" customWidth="1"/>
    <col min="20" max="20" width="5.33203125" customWidth="1"/>
    <col min="21" max="21" width="16" customWidth="1"/>
  </cols>
  <sheetData>
    <row r="1" spans="1:21" ht="67.5" customHeight="1">
      <c r="A1" s="545" t="s">
        <v>299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</row>
    <row r="2" spans="1:21" ht="16.5" customHeight="1">
      <c r="A2" s="606" t="s">
        <v>300</v>
      </c>
      <c r="B2" s="607"/>
      <c r="C2" s="80" t="s">
        <v>19</v>
      </c>
      <c r="D2" s="5">
        <v>100</v>
      </c>
      <c r="E2" s="40">
        <v>120</v>
      </c>
      <c r="F2" s="40">
        <v>140</v>
      </c>
      <c r="G2" s="39">
        <v>160</v>
      </c>
      <c r="H2" s="5">
        <v>180</v>
      </c>
      <c r="I2" s="5">
        <v>200</v>
      </c>
      <c r="J2" s="5">
        <v>220</v>
      </c>
      <c r="K2" s="188">
        <v>240</v>
      </c>
      <c r="L2" s="5">
        <v>260</v>
      </c>
      <c r="M2" s="195">
        <v>280</v>
      </c>
      <c r="N2" s="5">
        <v>300</v>
      </c>
      <c r="O2" s="40">
        <v>320</v>
      </c>
      <c r="P2" s="40">
        <v>340</v>
      </c>
      <c r="Q2" s="159">
        <v>360</v>
      </c>
      <c r="R2" s="39">
        <v>380</v>
      </c>
      <c r="S2" s="5">
        <v>400</v>
      </c>
      <c r="T2" s="8"/>
    </row>
    <row r="3" spans="1:21" ht="16.5" customHeight="1">
      <c r="A3" s="577"/>
      <c r="B3" s="607"/>
      <c r="C3" s="76">
        <v>100</v>
      </c>
      <c r="D3" s="10">
        <v>830.34872761545716</v>
      </c>
      <c r="E3" s="42">
        <v>855.7964184731386</v>
      </c>
      <c r="F3" s="42">
        <v>880.30160226201701</v>
      </c>
      <c r="G3" s="41">
        <v>907.6343072573045</v>
      </c>
      <c r="H3" s="10">
        <v>942.50706880301607</v>
      </c>
      <c r="I3" s="10">
        <v>963.24222431668238</v>
      </c>
      <c r="J3" s="10">
        <v>995.28746465598499</v>
      </c>
      <c r="K3" s="189">
        <v>1021.6776625824695</v>
      </c>
      <c r="L3" s="10">
        <v>1050.8953817153629</v>
      </c>
      <c r="M3" s="196">
        <v>1073.5155513666352</v>
      </c>
      <c r="N3" s="10">
        <v>1107.4458058435439</v>
      </c>
      <c r="O3" s="42">
        <v>1131.9509896324223</v>
      </c>
      <c r="P3" s="42">
        <v>1163.0537229029219</v>
      </c>
      <c r="Q3" s="197">
        <v>1186.6163996229973</v>
      </c>
      <c r="R3" s="81">
        <v>1217.7191328934969</v>
      </c>
      <c r="S3" s="10">
        <v>1240.3393025447692</v>
      </c>
      <c r="T3" s="13">
        <v>100</v>
      </c>
    </row>
    <row r="4" spans="1:21" ht="16.5" customHeight="1">
      <c r="A4" s="577"/>
      <c r="B4" s="607"/>
      <c r="C4" s="39">
        <v>120</v>
      </c>
      <c r="D4" s="15">
        <v>861.45146088595664</v>
      </c>
      <c r="E4" s="45">
        <v>892.55419415645622</v>
      </c>
      <c r="F4" s="45">
        <v>918.00188501413766</v>
      </c>
      <c r="G4" s="44">
        <v>950.98963242224318</v>
      </c>
      <c r="H4" s="15">
        <v>980.20735155513671</v>
      </c>
      <c r="I4" s="15">
        <v>1011.3100848256363</v>
      </c>
      <c r="J4" s="15">
        <v>1045.2403393025447</v>
      </c>
      <c r="K4" s="190">
        <v>1071.6305372290292</v>
      </c>
      <c r="L4" s="15">
        <v>1105.5607917059378</v>
      </c>
      <c r="M4" s="198">
        <v>1131.9509896324223</v>
      </c>
      <c r="N4" s="15">
        <v>1167.766258246937</v>
      </c>
      <c r="O4" s="52">
        <v>1188.5014137606033</v>
      </c>
      <c r="P4" s="52">
        <v>1226.2016965127239</v>
      </c>
      <c r="Q4" s="170">
        <v>1252.5918944392083</v>
      </c>
      <c r="R4" s="82">
        <v>1286.522148916117</v>
      </c>
      <c r="S4" s="15">
        <v>1312.9123468426014</v>
      </c>
      <c r="T4" s="5">
        <v>120</v>
      </c>
    </row>
    <row r="5" spans="1:21" ht="16.5" customHeight="1">
      <c r="A5" s="577"/>
      <c r="B5" s="607"/>
      <c r="C5" s="76">
        <v>140</v>
      </c>
      <c r="D5" s="10">
        <v>890.66918001885017</v>
      </c>
      <c r="E5" s="42">
        <v>928.36946277097081</v>
      </c>
      <c r="F5" s="42">
        <v>959.4721960414704</v>
      </c>
      <c r="G5" s="41">
        <v>990.57492931196987</v>
      </c>
      <c r="H5" s="10">
        <v>1024.5051837888784</v>
      </c>
      <c r="I5" s="10">
        <v>1055.607917059378</v>
      </c>
      <c r="J5" s="10">
        <v>1090.4806786050897</v>
      </c>
      <c r="K5" s="189">
        <v>1126.2959472196042</v>
      </c>
      <c r="L5" s="10">
        <v>1155.5136663524977</v>
      </c>
      <c r="M5" s="199">
        <v>1190.3864278982094</v>
      </c>
      <c r="N5" s="10">
        <v>1221.4891611687087</v>
      </c>
      <c r="O5" s="53">
        <v>1257.3044297832234</v>
      </c>
      <c r="P5" s="53">
        <v>1288.407163053723</v>
      </c>
      <c r="Q5" s="197">
        <v>1317.6248821866166</v>
      </c>
      <c r="R5" s="81">
        <v>1354.3826578699341</v>
      </c>
      <c r="S5" s="10">
        <v>1383.6003770028276</v>
      </c>
      <c r="T5" s="13">
        <v>140</v>
      </c>
    </row>
    <row r="6" spans="1:21" ht="16.5" customHeight="1">
      <c r="A6" s="577"/>
      <c r="B6" s="607"/>
      <c r="C6" s="39">
        <v>160</v>
      </c>
      <c r="D6" s="15">
        <v>924.59943449575871</v>
      </c>
      <c r="E6" s="45">
        <v>966.06974552309146</v>
      </c>
      <c r="F6" s="45">
        <v>999.05749293119709</v>
      </c>
      <c r="G6" s="44">
        <v>1030.1602262016966</v>
      </c>
      <c r="H6" s="15">
        <v>1069.7455230914231</v>
      </c>
      <c r="I6" s="15">
        <v>1100.8482563619227</v>
      </c>
      <c r="J6" s="15">
        <v>1136.6635249764374</v>
      </c>
      <c r="K6" s="190">
        <v>1173.4213006597549</v>
      </c>
      <c r="L6" s="15">
        <v>1211.1215834118757</v>
      </c>
      <c r="M6" s="200">
        <v>1242.2243166823753</v>
      </c>
      <c r="N6" s="15">
        <v>1281.8096135721019</v>
      </c>
      <c r="O6" s="52">
        <v>1312.9123468426014</v>
      </c>
      <c r="P6" s="52">
        <v>1346.8426013195099</v>
      </c>
      <c r="Q6" s="170">
        <v>1386.4278982092367</v>
      </c>
      <c r="R6" s="82">
        <v>1421.3006597549481</v>
      </c>
      <c r="S6" s="15">
        <v>1450.5183788878417</v>
      </c>
      <c r="T6" s="5">
        <v>160</v>
      </c>
    </row>
    <row r="7" spans="1:21" ht="16.5" customHeight="1">
      <c r="A7" s="577"/>
      <c r="B7" s="607"/>
      <c r="C7" s="76">
        <v>180</v>
      </c>
      <c r="D7" s="10">
        <v>961.35721017907645</v>
      </c>
      <c r="E7" s="42">
        <v>1000.942507068803</v>
      </c>
      <c r="F7" s="42">
        <v>1032.0452403393026</v>
      </c>
      <c r="G7" s="41">
        <v>1073.5155513666352</v>
      </c>
      <c r="H7" s="10">
        <v>1115.9283694627711</v>
      </c>
      <c r="I7" s="10">
        <v>1148.9161168708765</v>
      </c>
      <c r="J7" s="10">
        <v>1183.7888784165882</v>
      </c>
      <c r="K7" s="189">
        <v>1226.2016965127239</v>
      </c>
      <c r="L7" s="10">
        <v>1259.1894439208295</v>
      </c>
      <c r="M7" s="199">
        <v>1298.7747408105561</v>
      </c>
      <c r="N7" s="10">
        <v>1336.4750235626768</v>
      </c>
      <c r="O7" s="53">
        <v>1376.0603204524034</v>
      </c>
      <c r="P7" s="53">
        <v>1409.048067860509</v>
      </c>
      <c r="Q7" s="197">
        <v>1448.6333647502356</v>
      </c>
      <c r="R7" s="81">
        <v>1483.5061262959473</v>
      </c>
      <c r="S7" s="10">
        <v>1524.9764373232799</v>
      </c>
      <c r="T7" s="13">
        <v>180</v>
      </c>
    </row>
    <row r="8" spans="1:21" ht="16.5" customHeight="1">
      <c r="A8" s="577"/>
      <c r="B8" s="607"/>
      <c r="C8" s="83">
        <v>200</v>
      </c>
      <c r="D8" s="71">
        <v>995.28746465598499</v>
      </c>
      <c r="E8" s="72">
        <v>1034.8727615457117</v>
      </c>
      <c r="F8" s="72">
        <v>1080.1131008482564</v>
      </c>
      <c r="G8" s="70">
        <v>1119.698397737983</v>
      </c>
      <c r="H8" s="71">
        <v>1157.3986804901037</v>
      </c>
      <c r="I8" s="71">
        <v>1195.0989632422243</v>
      </c>
      <c r="J8" s="71">
        <v>1240.3393025447692</v>
      </c>
      <c r="K8" s="192">
        <v>1279.9245994344958</v>
      </c>
      <c r="L8" s="71">
        <v>1317.6248821866166</v>
      </c>
      <c r="M8" s="201">
        <v>1359.0951932139492</v>
      </c>
      <c r="N8" s="71">
        <v>1404.3355325164939</v>
      </c>
      <c r="O8" s="85">
        <v>1440.1508011310086</v>
      </c>
      <c r="P8" s="85">
        <v>1481.6211121583412</v>
      </c>
      <c r="Q8" s="202">
        <v>1521.2064090480681</v>
      </c>
      <c r="R8" s="84">
        <v>1560.7917059377946</v>
      </c>
      <c r="S8" s="71">
        <v>1600.3770028275212</v>
      </c>
      <c r="T8" s="86">
        <v>200</v>
      </c>
    </row>
    <row r="9" spans="1:21" ht="16.5" customHeight="1">
      <c r="A9" s="577"/>
      <c r="B9" s="607"/>
      <c r="C9" s="87">
        <v>220</v>
      </c>
      <c r="D9" s="88">
        <v>1024.5051837888784</v>
      </c>
      <c r="E9" s="89">
        <v>1071.6305372290292</v>
      </c>
      <c r="F9" s="89">
        <v>1113.100848256362</v>
      </c>
      <c r="G9" s="90">
        <v>1150.8011310084826</v>
      </c>
      <c r="H9" s="88">
        <v>1196.9839773798303</v>
      </c>
      <c r="I9" s="88">
        <v>1240.3393025447692</v>
      </c>
      <c r="J9" s="88">
        <v>1279.9245994344958</v>
      </c>
      <c r="K9" s="203">
        <v>1321.3949104618284</v>
      </c>
      <c r="L9" s="88">
        <v>1367.5777568331764</v>
      </c>
      <c r="M9" s="204">
        <v>1409.048067860509</v>
      </c>
      <c r="N9" s="88">
        <v>1446.7483506126296</v>
      </c>
      <c r="O9" s="92">
        <v>1488.2186616399624</v>
      </c>
      <c r="P9" s="92">
        <v>1538.1715362865223</v>
      </c>
      <c r="Q9" s="205">
        <v>1577.7568331762488</v>
      </c>
      <c r="R9" s="91">
        <v>1619.2271442035817</v>
      </c>
      <c r="S9" s="88">
        <v>1658.8124410933083</v>
      </c>
      <c r="T9" s="93">
        <v>220</v>
      </c>
    </row>
    <row r="10" spans="1:21" ht="16.5" customHeight="1">
      <c r="A10" s="577"/>
      <c r="B10" s="607"/>
      <c r="C10" s="94">
        <v>240</v>
      </c>
      <c r="D10" s="15">
        <v>1059.3779453345901</v>
      </c>
      <c r="E10" s="45">
        <v>1105.5607917059378</v>
      </c>
      <c r="F10" s="45">
        <v>1145.1460885956644</v>
      </c>
      <c r="G10" s="82">
        <v>1190.3864278982094</v>
      </c>
      <c r="H10" s="15">
        <v>1238.4542884071632</v>
      </c>
      <c r="I10" s="15">
        <v>1283.6946277097079</v>
      </c>
      <c r="J10" s="15">
        <v>1327.9924599434496</v>
      </c>
      <c r="K10" s="190">
        <v>1373.2327992459943</v>
      </c>
      <c r="L10" s="15">
        <v>1421.3006597549481</v>
      </c>
      <c r="M10" s="200">
        <v>1464.655984919887</v>
      </c>
      <c r="N10" s="15">
        <v>1510.8388312912348</v>
      </c>
      <c r="O10" s="52">
        <v>1552.3091423185674</v>
      </c>
      <c r="P10" s="52">
        <v>1593.7794533459003</v>
      </c>
      <c r="Q10" s="170">
        <v>1639.962299717248</v>
      </c>
      <c r="R10" s="82">
        <v>1689.9151743638079</v>
      </c>
      <c r="S10" s="15">
        <v>1735.1555136663526</v>
      </c>
      <c r="T10" s="95">
        <v>240</v>
      </c>
    </row>
    <row r="11" spans="1:21" ht="16.5" customHeight="1">
      <c r="A11" s="577"/>
      <c r="B11" s="607"/>
      <c r="C11" s="96">
        <v>260</v>
      </c>
      <c r="D11" s="10">
        <v>1092.3656927426957</v>
      </c>
      <c r="E11" s="42">
        <v>1145.1460885956644</v>
      </c>
      <c r="F11" s="53">
        <v>1190.3864278982094</v>
      </c>
      <c r="G11" s="81">
        <v>1238.4542884071632</v>
      </c>
      <c r="H11" s="10">
        <v>1286.522148916117</v>
      </c>
      <c r="I11" s="10">
        <v>1327.9924599434496</v>
      </c>
      <c r="J11" s="10">
        <v>1377.9453345900095</v>
      </c>
      <c r="K11" s="189">
        <v>1417.5306314797363</v>
      </c>
      <c r="L11" s="10">
        <v>1459.0009425070689</v>
      </c>
      <c r="M11" s="199">
        <v>1512.7238454288408</v>
      </c>
      <c r="N11" s="10">
        <v>1560.7917059377946</v>
      </c>
      <c r="O11" s="53">
        <v>1604.1470311027333</v>
      </c>
      <c r="P11" s="53">
        <v>1650.3298774740811</v>
      </c>
      <c r="Q11" s="197">
        <v>1702.167766258247</v>
      </c>
      <c r="R11" s="81">
        <v>1750.2356267672008</v>
      </c>
      <c r="S11" s="10">
        <v>1803.9585296889727</v>
      </c>
      <c r="T11" s="97">
        <v>260</v>
      </c>
    </row>
    <row r="12" spans="1:21" ht="16.5">
      <c r="A12" s="608"/>
      <c r="B12" s="609"/>
      <c r="C12" s="206">
        <v>280</v>
      </c>
      <c r="D12" s="207">
        <v>1128.1809613572102</v>
      </c>
      <c r="E12" s="207">
        <v>1180.0188501413761</v>
      </c>
      <c r="F12" s="208">
        <v>1228.0867106503299</v>
      </c>
      <c r="G12" s="208">
        <v>1269.5570216776628</v>
      </c>
      <c r="H12" s="208">
        <v>1321.3949104618284</v>
      </c>
      <c r="I12" s="208">
        <v>1373.2327992459943</v>
      </c>
      <c r="J12" s="208">
        <v>1426.0131950989633</v>
      </c>
      <c r="K12" s="209">
        <v>1452.4033930254477</v>
      </c>
      <c r="L12" s="208">
        <v>1508.9538171536287</v>
      </c>
      <c r="M12" s="209">
        <v>1552.3091423185674</v>
      </c>
      <c r="N12" s="208">
        <v>1598.4919886899152</v>
      </c>
      <c r="O12" s="208">
        <v>1652.2148916116871</v>
      </c>
      <c r="P12" s="208">
        <v>1702.167766258247</v>
      </c>
      <c r="Q12" s="209">
        <v>1748.3506126295947</v>
      </c>
      <c r="R12" s="208">
        <v>1798.3034872761546</v>
      </c>
      <c r="S12" s="208">
        <v>1848.2563619227146</v>
      </c>
      <c r="T12" s="210">
        <v>280</v>
      </c>
    </row>
    <row r="13" spans="1:21" ht="16.5" customHeight="1">
      <c r="A13" s="610"/>
      <c r="B13" s="562"/>
      <c r="C13" s="96">
        <v>300</v>
      </c>
      <c r="D13" s="10">
        <v>1148.9161168708765</v>
      </c>
      <c r="E13" s="53">
        <v>1200.7540056550424</v>
      </c>
      <c r="F13" s="53">
        <v>1250.7068803016023</v>
      </c>
      <c r="G13" s="81">
        <v>1298.7747408105561</v>
      </c>
      <c r="H13" s="10">
        <v>1350.612629594722</v>
      </c>
      <c r="I13" s="10">
        <v>1402.4505183788879</v>
      </c>
      <c r="J13" s="10">
        <v>1448.6333647502356</v>
      </c>
      <c r="K13" s="189">
        <v>1479.7360980207352</v>
      </c>
      <c r="L13" s="10">
        <v>1533.4590009425071</v>
      </c>
      <c r="M13" s="199">
        <v>1579.6418473138549</v>
      </c>
      <c r="N13" s="10">
        <v>1631.4797360980208</v>
      </c>
      <c r="O13" s="53">
        <v>1693.68520263902</v>
      </c>
      <c r="P13" s="53">
        <v>1735.1555136663526</v>
      </c>
      <c r="Q13" s="197">
        <v>1783.2233741753064</v>
      </c>
      <c r="R13" s="81">
        <v>1829.4062205466541</v>
      </c>
      <c r="S13" s="10">
        <v>1885.0141376060321</v>
      </c>
      <c r="T13" s="97">
        <v>300</v>
      </c>
    </row>
    <row r="14" spans="1:21" ht="16.5" customHeight="1">
      <c r="A14" s="610"/>
      <c r="B14" s="562"/>
      <c r="C14" s="94">
        <v>320</v>
      </c>
      <c r="D14" s="8">
        <v>0</v>
      </c>
      <c r="E14" s="8">
        <v>0</v>
      </c>
      <c r="F14" s="8">
        <v>0</v>
      </c>
      <c r="G14" s="82">
        <v>1333.6475023562678</v>
      </c>
      <c r="H14" s="15">
        <v>1388.3129123468427</v>
      </c>
      <c r="I14" s="15">
        <v>1436.3807728557965</v>
      </c>
      <c r="J14" s="15">
        <v>1481.6211121583412</v>
      </c>
      <c r="K14" s="190">
        <v>1517.436380772856</v>
      </c>
      <c r="L14" s="15">
        <v>1567.3892554194158</v>
      </c>
      <c r="M14" s="200">
        <v>1617.3421300659757</v>
      </c>
      <c r="N14" s="15">
        <v>1662.5824693685204</v>
      </c>
      <c r="O14" s="52">
        <v>1722.9029217719133</v>
      </c>
      <c r="P14" s="52">
        <v>1769.0857681432612</v>
      </c>
      <c r="Q14" s="170">
        <v>1822.8086710650332</v>
      </c>
      <c r="R14" s="82">
        <v>1864.2789820923658</v>
      </c>
      <c r="S14" s="8">
        <v>0</v>
      </c>
      <c r="T14" s="95">
        <v>320</v>
      </c>
    </row>
    <row r="15" spans="1:21" ht="16.5" customHeight="1">
      <c r="A15" s="610"/>
      <c r="B15" s="562"/>
      <c r="C15" s="98">
        <v>340</v>
      </c>
      <c r="D15" s="59">
        <v>0</v>
      </c>
      <c r="E15" s="59">
        <v>0</v>
      </c>
      <c r="F15" s="59">
        <v>0</v>
      </c>
      <c r="G15" s="59">
        <v>0</v>
      </c>
      <c r="H15" s="59">
        <v>0</v>
      </c>
      <c r="I15" s="56">
        <v>1475.0235626767201</v>
      </c>
      <c r="J15" s="56">
        <v>1519.321394910462</v>
      </c>
      <c r="K15" s="191">
        <v>1550.4241281809614</v>
      </c>
      <c r="L15" s="56">
        <v>1600.3770028275212</v>
      </c>
      <c r="M15" s="211">
        <v>1652.2148916116871</v>
      </c>
      <c r="N15" s="56">
        <v>1702.167766258247</v>
      </c>
      <c r="O15" s="99">
        <v>1762.4882186616401</v>
      </c>
      <c r="P15" s="99">
        <v>1805.8435438265788</v>
      </c>
      <c r="Q15" s="212">
        <v>1858.6239396795477</v>
      </c>
      <c r="R15" s="59">
        <v>0</v>
      </c>
      <c r="S15" s="59">
        <v>0</v>
      </c>
      <c r="T15" s="100">
        <v>340</v>
      </c>
    </row>
    <row r="16" spans="1:21" ht="16.5" customHeight="1">
      <c r="A16" s="610"/>
      <c r="B16" s="562"/>
      <c r="C16" s="565"/>
      <c r="D16" s="565"/>
      <c r="E16" s="565"/>
      <c r="F16" s="565"/>
      <c r="G16" s="565"/>
      <c r="H16" s="565"/>
      <c r="I16" s="565"/>
      <c r="J16" s="565"/>
      <c r="K16" s="565"/>
      <c r="L16" s="565"/>
      <c r="M16" s="565"/>
      <c r="N16" s="565"/>
      <c r="O16" s="565"/>
      <c r="P16" s="565"/>
      <c r="Q16" s="565"/>
      <c r="R16" s="565"/>
      <c r="S16" s="565"/>
      <c r="T16" s="565"/>
    </row>
    <row r="17" spans="1:21" ht="16.5" customHeight="1">
      <c r="A17" s="610"/>
      <c r="B17" s="562"/>
      <c r="C17" s="75"/>
      <c r="D17" s="534" t="s">
        <v>3</v>
      </c>
      <c r="E17" s="535"/>
      <c r="F17" s="535"/>
      <c r="G17" s="535"/>
      <c r="H17" s="535"/>
      <c r="I17" s="535"/>
      <c r="J17" s="535"/>
      <c r="K17" s="535"/>
      <c r="L17" s="535"/>
      <c r="M17" s="535"/>
      <c r="N17" s="75"/>
      <c r="O17" s="75"/>
      <c r="P17" s="75"/>
      <c r="Q17" s="193"/>
      <c r="R17" s="75"/>
      <c r="S17" s="75"/>
      <c r="T17" s="75"/>
    </row>
    <row r="18" spans="1:21" ht="16.5" customHeight="1">
      <c r="A18" s="610"/>
      <c r="B18" s="562"/>
      <c r="C18" s="101" t="s">
        <v>4</v>
      </c>
      <c r="D18" s="5">
        <v>100</v>
      </c>
      <c r="E18" s="40">
        <v>120</v>
      </c>
      <c r="F18" s="40">
        <v>140</v>
      </c>
      <c r="G18" s="39">
        <v>160</v>
      </c>
      <c r="H18" s="5">
        <v>180</v>
      </c>
      <c r="I18" s="5">
        <v>200</v>
      </c>
      <c r="J18" s="5">
        <v>220</v>
      </c>
      <c r="K18" s="188">
        <v>240</v>
      </c>
      <c r="L18" s="5">
        <v>260</v>
      </c>
      <c r="M18" s="195">
        <v>280</v>
      </c>
      <c r="N18" s="5">
        <v>300</v>
      </c>
      <c r="O18" s="40">
        <v>320</v>
      </c>
      <c r="P18" s="40">
        <v>340</v>
      </c>
      <c r="Q18" s="159">
        <v>360</v>
      </c>
      <c r="R18" s="39">
        <v>380</v>
      </c>
      <c r="S18" s="5">
        <v>400</v>
      </c>
      <c r="T18" s="8"/>
    </row>
    <row r="19" spans="1:21" ht="16.5" customHeight="1">
      <c r="A19" s="610"/>
      <c r="B19" s="562"/>
      <c r="C19" s="102" t="s">
        <v>5</v>
      </c>
      <c r="D19" s="10">
        <v>204.52403393025449</v>
      </c>
      <c r="E19" s="42">
        <v>204.52403393025449</v>
      </c>
      <c r="F19" s="42">
        <v>204.52403393025449</v>
      </c>
      <c r="G19" s="41">
        <v>204.52403393025449</v>
      </c>
      <c r="H19" s="10">
        <v>204.52403393025449</v>
      </c>
      <c r="I19" s="10">
        <v>262.95947219604147</v>
      </c>
      <c r="J19" s="10">
        <v>262.95947219604147</v>
      </c>
      <c r="K19" s="189">
        <v>262.95947219604147</v>
      </c>
      <c r="L19" s="10">
        <v>262.95947219604147</v>
      </c>
      <c r="M19" s="196">
        <v>262.95947219604147</v>
      </c>
      <c r="N19" s="10">
        <v>320.45240339302546</v>
      </c>
      <c r="O19" s="42">
        <v>320.45240339302546</v>
      </c>
      <c r="P19" s="42">
        <v>320.45240339302546</v>
      </c>
      <c r="Q19" s="213">
        <v>320.45240339302546</v>
      </c>
      <c r="R19" s="41">
        <v>320.45240339302546</v>
      </c>
      <c r="S19" s="10">
        <v>378.88784165881248</v>
      </c>
      <c r="T19" s="18"/>
    </row>
    <row r="20" spans="1:21" ht="16.5" customHeight="1">
      <c r="A20" s="610"/>
      <c r="B20" s="562"/>
      <c r="C20" s="103" t="s">
        <v>6</v>
      </c>
      <c r="D20" s="15">
        <v>102.26201696512724</v>
      </c>
      <c r="E20" s="45">
        <v>102.26201696512724</v>
      </c>
      <c r="F20" s="45">
        <v>102.26201696512724</v>
      </c>
      <c r="G20" s="44">
        <v>102.26201696512724</v>
      </c>
      <c r="H20" s="15">
        <v>102.26201696512724</v>
      </c>
      <c r="I20" s="15">
        <v>131.47973609802074</v>
      </c>
      <c r="J20" s="15">
        <v>131.47973609802074</v>
      </c>
      <c r="K20" s="190">
        <v>131.47973609802074</v>
      </c>
      <c r="L20" s="15">
        <v>131.47973609802074</v>
      </c>
      <c r="M20" s="198">
        <v>131.47973609802074</v>
      </c>
      <c r="N20" s="15">
        <v>160.22620169651273</v>
      </c>
      <c r="O20" s="45">
        <v>160.22620169651273</v>
      </c>
      <c r="P20" s="45">
        <v>160.22620169651273</v>
      </c>
      <c r="Q20" s="160">
        <v>160.22620169651273</v>
      </c>
      <c r="R20" s="44">
        <v>160.22620169651273</v>
      </c>
      <c r="S20" s="15">
        <v>189.44392082940624</v>
      </c>
      <c r="T20" s="8"/>
    </row>
    <row r="21" spans="1:21" ht="16.7" customHeight="1">
      <c r="A21" s="78"/>
      <c r="B21" s="79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</row>
    <row r="22" spans="1:21" ht="16.5" customHeight="1">
      <c r="A22" s="611" t="s">
        <v>20</v>
      </c>
      <c r="B22" s="611"/>
      <c r="C22" s="611"/>
      <c r="D22" s="611"/>
      <c r="E22" s="611"/>
      <c r="F22" s="611"/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1"/>
      <c r="R22" s="611"/>
      <c r="S22" s="611"/>
      <c r="T22" s="611"/>
      <c r="U22" s="611"/>
    </row>
    <row r="23" spans="1:21" ht="17.100000000000001" customHeight="1">
      <c r="A23" s="571" t="s">
        <v>7</v>
      </c>
      <c r="B23" s="571"/>
      <c r="C23" s="571"/>
      <c r="D23" s="571"/>
      <c r="E23" s="571"/>
      <c r="F23" s="571"/>
      <c r="G23" s="571"/>
      <c r="H23" s="571"/>
      <c r="I23" s="571"/>
      <c r="J23" s="571"/>
      <c r="K23" s="571"/>
      <c r="L23" s="571"/>
      <c r="M23" s="571"/>
    </row>
    <row r="24" spans="1:21" ht="18.2" customHeight="1">
      <c r="A24" s="605" t="s">
        <v>302</v>
      </c>
      <c r="B24" s="540"/>
      <c r="C24" s="540"/>
      <c r="D24" s="540"/>
      <c r="E24" s="540"/>
      <c r="F24" s="540"/>
      <c r="G24" s="540"/>
      <c r="H24" s="540"/>
      <c r="I24" s="540"/>
      <c r="J24" s="540"/>
      <c r="K24" s="540"/>
      <c r="L24" s="572">
        <v>124</v>
      </c>
      <c r="M24" s="573"/>
    </row>
    <row r="25" spans="1:21" ht="18.2" customHeight="1">
      <c r="A25" s="542" t="s">
        <v>301</v>
      </c>
      <c r="B25" s="543"/>
      <c r="C25" s="543"/>
      <c r="D25" s="543"/>
      <c r="E25" s="543"/>
      <c r="F25" s="543"/>
      <c r="G25" s="543"/>
      <c r="H25" s="543"/>
      <c r="I25" s="543"/>
      <c r="J25" s="543"/>
      <c r="K25" s="544"/>
      <c r="L25" s="575">
        <v>-84</v>
      </c>
      <c r="M25" s="576"/>
    </row>
    <row r="26" spans="1:21" ht="18.2" customHeight="1">
      <c r="A26" s="539" t="s">
        <v>23</v>
      </c>
      <c r="B26" s="540"/>
      <c r="C26" s="540"/>
      <c r="D26" s="540"/>
      <c r="E26" s="540"/>
      <c r="F26" s="540"/>
      <c r="G26" s="540"/>
      <c r="H26" s="540"/>
      <c r="I26" s="540"/>
      <c r="J26" s="540"/>
      <c r="K26" s="540"/>
      <c r="L26" s="572">
        <v>45</v>
      </c>
      <c r="M26" s="573"/>
    </row>
    <row r="27" spans="1:21" ht="18.2" customHeight="1">
      <c r="A27" s="542" t="s">
        <v>9</v>
      </c>
      <c r="B27" s="543"/>
      <c r="C27" s="543"/>
      <c r="D27" s="543"/>
      <c r="E27" s="543"/>
      <c r="F27" s="543"/>
      <c r="G27" s="543"/>
      <c r="H27" s="543"/>
      <c r="I27" s="543"/>
      <c r="J27" s="543"/>
      <c r="K27" s="543"/>
      <c r="L27" s="575">
        <v>70</v>
      </c>
      <c r="M27" s="576"/>
    </row>
    <row r="28" spans="1:21" ht="18.2" customHeight="1">
      <c r="A28" s="539" t="s">
        <v>24</v>
      </c>
      <c r="B28" s="540"/>
      <c r="C28" s="540"/>
      <c r="D28" s="540"/>
      <c r="E28" s="540"/>
      <c r="F28" s="540"/>
      <c r="G28" s="540"/>
      <c r="H28" s="540"/>
      <c r="I28" s="540"/>
      <c r="J28" s="540"/>
      <c r="K28" s="540"/>
      <c r="L28" s="572">
        <v>14</v>
      </c>
      <c r="M28" s="573"/>
    </row>
    <row r="29" spans="1:21" ht="9.9499999999999993" customHeight="1"/>
  </sheetData>
  <mergeCells count="19">
    <mergeCell ref="A1:U1"/>
    <mergeCell ref="A2:B12"/>
    <mergeCell ref="A25:K25"/>
    <mergeCell ref="L25:M25"/>
    <mergeCell ref="C16:T16"/>
    <mergeCell ref="D17:M17"/>
    <mergeCell ref="A13:A20"/>
    <mergeCell ref="B13:B20"/>
    <mergeCell ref="C21:T21"/>
    <mergeCell ref="A22:U22"/>
    <mergeCell ref="A23:M23"/>
    <mergeCell ref="A24:K24"/>
    <mergeCell ref="L24:M24"/>
    <mergeCell ref="A26:K26"/>
    <mergeCell ref="L26:M26"/>
    <mergeCell ref="A27:K27"/>
    <mergeCell ref="L27:M27"/>
    <mergeCell ref="A28:K28"/>
    <mergeCell ref="L28:M28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Blad8">
    <tabColor rgb="FF92D050"/>
    <pageSetUpPr fitToPage="1"/>
  </sheetPr>
  <dimension ref="A1:U29"/>
  <sheetViews>
    <sheetView workbookViewId="0">
      <selection sqref="A1:U1"/>
    </sheetView>
  </sheetViews>
  <sheetFormatPr defaultRowHeight="12.75"/>
  <cols>
    <col min="1" max="1" width="6.1640625" customWidth="1"/>
    <col min="2" max="2" width="6.5" customWidth="1"/>
    <col min="3" max="18" width="6.83203125" customWidth="1"/>
    <col min="19" max="19" width="5.33203125" customWidth="1"/>
    <col min="20" max="20" width="16" customWidth="1"/>
  </cols>
  <sheetData>
    <row r="1" spans="1:21" ht="67.5" customHeight="1">
      <c r="A1" s="545" t="s">
        <v>299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</row>
    <row r="2" spans="1:21" ht="16.5" customHeight="1">
      <c r="A2" s="606" t="s">
        <v>300</v>
      </c>
      <c r="B2" s="80" t="s">
        <v>19</v>
      </c>
      <c r="C2" s="5">
        <v>100</v>
      </c>
      <c r="D2" s="5">
        <v>120</v>
      </c>
      <c r="E2" s="5">
        <v>140</v>
      </c>
      <c r="F2" s="5">
        <v>160</v>
      </c>
      <c r="G2" s="5">
        <v>180</v>
      </c>
      <c r="H2" s="5">
        <v>200</v>
      </c>
      <c r="I2" s="5">
        <v>220</v>
      </c>
      <c r="J2" s="188">
        <v>240</v>
      </c>
      <c r="K2" s="5">
        <v>260</v>
      </c>
      <c r="L2" s="188">
        <v>280</v>
      </c>
      <c r="M2" s="5">
        <v>300</v>
      </c>
      <c r="N2" s="5">
        <v>320</v>
      </c>
      <c r="O2" s="5">
        <v>340</v>
      </c>
      <c r="P2" s="188">
        <v>360</v>
      </c>
      <c r="Q2" s="5">
        <v>380</v>
      </c>
      <c r="R2" s="5">
        <v>400</v>
      </c>
      <c r="S2" s="226"/>
    </row>
    <row r="3" spans="1:21" ht="16.5" customHeight="1">
      <c r="A3" s="577"/>
      <c r="B3" s="13">
        <v>100</v>
      </c>
      <c r="C3" s="10">
        <f>(('Zip 85&amp;100 (2)'!D3/(1+Korting!$B$3)*(1-Korting!$B$2)*Prijsmutaties!$B$9))</f>
        <v>806.49474383727261</v>
      </c>
      <c r="D3" s="10">
        <f>(('Zip 85&amp;100 (2)'!E3/(1+Korting!$B$3)*(1-Korting!$B$2)*Prijsmutaties!$B$9))</f>
        <v>831.21138184363622</v>
      </c>
      <c r="E3" s="10">
        <f>(('Zip 85&amp;100 (2)'!F3/(1+Korting!$B$3)*(1-Korting!$B$2)*Prijsmutaties!$B$9))</f>
        <v>855.01258881272702</v>
      </c>
      <c r="F3" s="10">
        <f>(('Zip 85&amp;100 (2)'!G3/(1+Korting!$B$3)*(1-Korting!$B$2)*Prijsmutaties!$B$9))</f>
        <v>881.56008889363625</v>
      </c>
      <c r="G3" s="10">
        <f>(('Zip 85&amp;100 (2)'!H3/(1+Korting!$B$3)*(1-Korting!$B$2)*Prijsmutaties!$B$9))</f>
        <v>915.43103727272705</v>
      </c>
      <c r="H3" s="10">
        <f>(('Zip 85&amp;100 (2)'!I3/(1+Korting!$B$3)*(1-Korting!$B$2)*Prijsmutaties!$B$9))</f>
        <v>935.57052009272707</v>
      </c>
      <c r="I3" s="10">
        <f>(('Zip 85&amp;100 (2)'!J3/(1+Korting!$B$3)*(1-Korting!$B$2)*Prijsmutaties!$B$9))</f>
        <v>966.69517535999978</v>
      </c>
      <c r="J3" s="10">
        <f>(('Zip 85&amp;100 (2)'!K3/(1+Korting!$B$3)*(1-Korting!$B$2)*Prijsmutaties!$B$9))</f>
        <v>992.32724440363609</v>
      </c>
      <c r="K3" s="10">
        <f>(('Zip 85&amp;100 (2)'!L3/(1+Korting!$B$3)*(1-Korting!$B$2)*Prijsmutaties!$B$9))</f>
        <v>1020.7056065590906</v>
      </c>
      <c r="L3" s="10">
        <f>(('Zip 85&amp;100 (2)'!M3/(1+Korting!$B$3)*(1-Korting!$B$2)*Prijsmutaties!$B$9))</f>
        <v>1042.6759514536361</v>
      </c>
      <c r="M3" s="10">
        <f>(('Zip 85&amp;100 (2)'!N3/(1+Korting!$B$3)*(1-Korting!$B$2)*Prijsmutaties!$B$9))</f>
        <v>1075.6314687954543</v>
      </c>
      <c r="N3" s="10">
        <f>(('Zip 85&amp;100 (2)'!O3/(1+Korting!$B$3)*(1-Korting!$B$2)*Prijsmutaties!$B$9))</f>
        <v>1099.4326757645451</v>
      </c>
      <c r="O3" s="10">
        <f>(('Zip 85&amp;100 (2)'!P3/(1+Korting!$B$3)*(1-Korting!$B$2)*Prijsmutaties!$B$9))</f>
        <v>1129.6418999945452</v>
      </c>
      <c r="P3" s="10">
        <f>(('Zip 85&amp;100 (2)'!Q3/(1+Korting!$B$3)*(1-Korting!$B$2)*Prijsmutaties!$B$9))</f>
        <v>1152.5276759263634</v>
      </c>
      <c r="Q3" s="10">
        <f>(('Zip 85&amp;100 (2)'!R3/(1+Korting!$B$3)*(1-Korting!$B$2)*Prijsmutaties!$B$9))</f>
        <v>1182.7369001563634</v>
      </c>
      <c r="R3" s="10">
        <f>(('Zip 85&amp;100 (2)'!S3/(1+Korting!$B$3)*(1-Korting!$B$2)*Prijsmutaties!$B$9))</f>
        <v>1204.707245050909</v>
      </c>
      <c r="S3" s="13">
        <v>100</v>
      </c>
    </row>
    <row r="4" spans="1:21" ht="16.5" customHeight="1">
      <c r="A4" s="577"/>
      <c r="B4" s="5">
        <v>120</v>
      </c>
      <c r="C4" s="15">
        <f>(('Zip 85&amp;100 (2)'!D4/(1+Korting!$B$3)*(1-Korting!$B$2)*Prijsmutaties!$B$9))</f>
        <v>836.70396806727251</v>
      </c>
      <c r="D4" s="15">
        <f>(('Zip 85&amp;100 (2)'!E4/(1+Korting!$B$3)*(1-Korting!$B$2)*Prijsmutaties!$B$9))</f>
        <v>866.91319229727253</v>
      </c>
      <c r="E4" s="15">
        <f>(('Zip 85&amp;100 (2)'!F4/(1+Korting!$B$3)*(1-Korting!$B$2)*Prijsmutaties!$B$9))</f>
        <v>891.62983030363614</v>
      </c>
      <c r="F4" s="15">
        <f>(('Zip 85&amp;100 (2)'!G4/(1+Korting!$B$3)*(1-Korting!$B$2)*Prijsmutaties!$B$9))</f>
        <v>923.66991660818167</v>
      </c>
      <c r="G4" s="15">
        <f>(('Zip 85&amp;100 (2)'!H4/(1+Korting!$B$3)*(1-Korting!$B$2)*Prijsmutaties!$B$9))</f>
        <v>952.04827876363618</v>
      </c>
      <c r="H4" s="15">
        <f>(('Zip 85&amp;100 (2)'!I4/(1+Korting!$B$3)*(1-Korting!$B$2)*Prijsmutaties!$B$9))</f>
        <v>982.25750299363619</v>
      </c>
      <c r="I4" s="15">
        <f>(('Zip 85&amp;100 (2)'!J4/(1+Korting!$B$3)*(1-Korting!$B$2)*Prijsmutaties!$B$9))</f>
        <v>1015.2130203354542</v>
      </c>
      <c r="J4" s="190">
        <f>(('Zip 85&amp;100 (2)'!K4/(1+Korting!$B$3)*(1-Korting!$B$2)*Prijsmutaties!$B$9))</f>
        <v>1040.8450893790905</v>
      </c>
      <c r="K4" s="15">
        <f>(('Zip 85&amp;100 (2)'!L4/(1+Korting!$B$3)*(1-Korting!$B$2)*Prijsmutaties!$B$9))</f>
        <v>1073.8006067209089</v>
      </c>
      <c r="L4" s="190">
        <f>(('Zip 85&amp;100 (2)'!M4/(1+Korting!$B$3)*(1-Korting!$B$2)*Prijsmutaties!$B$9))</f>
        <v>1099.4326757645451</v>
      </c>
      <c r="M4" s="15">
        <f>(('Zip 85&amp;100 (2)'!N4/(1+Korting!$B$3)*(1-Korting!$B$2)*Prijsmutaties!$B$9))</f>
        <v>1134.219055180909</v>
      </c>
      <c r="N4" s="15">
        <f>(('Zip 85&amp;100 (2)'!O4/(1+Korting!$B$3)*(1-Korting!$B$2)*Prijsmutaties!$B$9))</f>
        <v>1154.3585380009088</v>
      </c>
      <c r="O4" s="15">
        <f>(('Zip 85&amp;100 (2)'!P4/(1+Korting!$B$3)*(1-Korting!$B$2)*Prijsmutaties!$B$9))</f>
        <v>1190.9757794918178</v>
      </c>
      <c r="P4" s="190">
        <f>(('Zip 85&amp;100 (2)'!Q4/(1+Korting!$B$3)*(1-Korting!$B$2)*Prijsmutaties!$B$9))</f>
        <v>1216.6078485354544</v>
      </c>
      <c r="Q4" s="15">
        <f>(('Zip 85&amp;100 (2)'!R4/(1+Korting!$B$3)*(1-Korting!$B$2)*Prijsmutaties!$B$9))</f>
        <v>1249.5633658772724</v>
      </c>
      <c r="R4" s="15">
        <f>(('Zip 85&amp;100 (2)'!S4/(1+Korting!$B$3)*(1-Korting!$B$2)*Prijsmutaties!$B$9))</f>
        <v>1275.1954349209091</v>
      </c>
      <c r="S4" s="5">
        <v>120</v>
      </c>
    </row>
    <row r="5" spans="1:21" ht="16.5" customHeight="1">
      <c r="A5" s="577"/>
      <c r="B5" s="13">
        <v>140</v>
      </c>
      <c r="C5" s="10">
        <f>(('Zip 85&amp;100 (2)'!D5/(1+Korting!$B$3)*(1-Korting!$B$2)*Prijsmutaties!$B$9))</f>
        <v>865.08233022272714</v>
      </c>
      <c r="D5" s="10">
        <f>(('Zip 85&amp;100 (2)'!E5/(1+Korting!$B$3)*(1-Korting!$B$2)*Prijsmutaties!$B$9))</f>
        <v>901.69957171363615</v>
      </c>
      <c r="E5" s="10">
        <f>(('Zip 85&amp;100 (2)'!F5/(1+Korting!$B$3)*(1-Korting!$B$2)*Prijsmutaties!$B$9))</f>
        <v>931.90879594363616</v>
      </c>
      <c r="F5" s="10">
        <f>(('Zip 85&amp;100 (2)'!G5/(1+Korting!$B$3)*(1-Korting!$B$2)*Prijsmutaties!$B$9))</f>
        <v>962.11802017363607</v>
      </c>
      <c r="G5" s="10">
        <f>(('Zip 85&amp;100 (2)'!H5/(1+Korting!$B$3)*(1-Korting!$B$2)*Prijsmutaties!$B$9))</f>
        <v>995.07353751545429</v>
      </c>
      <c r="H5" s="10">
        <f>(('Zip 85&amp;100 (2)'!I5/(1+Korting!$B$3)*(1-Korting!$B$2)*Prijsmutaties!$B$9))</f>
        <v>1025.2827617454543</v>
      </c>
      <c r="I5" s="10">
        <f>(('Zip 85&amp;100 (2)'!J5/(1+Korting!$B$3)*(1-Korting!$B$2)*Prijsmutaties!$B$9))</f>
        <v>1059.1537101245453</v>
      </c>
      <c r="J5" s="189">
        <f>(('Zip 85&amp;100 (2)'!K5/(1+Korting!$B$3)*(1-Korting!$B$2)*Prijsmutaties!$B$9))</f>
        <v>1093.9400895409087</v>
      </c>
      <c r="K5" s="10">
        <f>(('Zip 85&amp;100 (2)'!L5/(1+Korting!$B$3)*(1-Korting!$B$2)*Prijsmutaties!$B$9))</f>
        <v>1122.3184516963634</v>
      </c>
      <c r="L5" s="189">
        <f>(('Zip 85&amp;100 (2)'!M5/(1+Korting!$B$3)*(1-Korting!$B$2)*Prijsmutaties!$B$9))</f>
        <v>1156.1894000754544</v>
      </c>
      <c r="M5" s="10">
        <f>(('Zip 85&amp;100 (2)'!N5/(1+Korting!$B$3)*(1-Korting!$B$2)*Prijsmutaties!$B$9))</f>
        <v>1186.3986243054542</v>
      </c>
      <c r="N5" s="10">
        <f>(('Zip 85&amp;100 (2)'!O5/(1+Korting!$B$3)*(1-Korting!$B$2)*Prijsmutaties!$B$9))</f>
        <v>1221.185003721818</v>
      </c>
      <c r="O5" s="10">
        <f>(('Zip 85&amp;100 (2)'!P5/(1+Korting!$B$3)*(1-Korting!$B$2)*Prijsmutaties!$B$9))</f>
        <v>1251.394227951818</v>
      </c>
      <c r="P5" s="189">
        <f>(('Zip 85&amp;100 (2)'!Q5/(1+Korting!$B$3)*(1-Korting!$B$2)*Prijsmutaties!$B$9))</f>
        <v>1279.7725901072724</v>
      </c>
      <c r="Q5" s="10">
        <f>(('Zip 85&amp;100 (2)'!R5/(1+Korting!$B$3)*(1-Korting!$B$2)*Prijsmutaties!$B$9))</f>
        <v>1315.4744005609089</v>
      </c>
      <c r="R5" s="10">
        <f>(('Zip 85&amp;100 (2)'!S5/(1+Korting!$B$3)*(1-Korting!$B$2)*Prijsmutaties!$B$9))</f>
        <v>1343.8527627163633</v>
      </c>
      <c r="S5" s="13">
        <v>140</v>
      </c>
    </row>
    <row r="6" spans="1:21" ht="16.5" customHeight="1">
      <c r="A6" s="577"/>
      <c r="B6" s="5">
        <v>160</v>
      </c>
      <c r="C6" s="15">
        <f>(('Zip 85&amp;100 (2)'!D6/(1+Korting!$B$3)*(1-Korting!$B$2)*Prijsmutaties!$B$9))</f>
        <v>898.03784756454513</v>
      </c>
      <c r="D6" s="15">
        <f>(('Zip 85&amp;100 (2)'!E6/(1+Korting!$B$3)*(1-Korting!$B$2)*Prijsmutaties!$B$9))</f>
        <v>938.31681320454516</v>
      </c>
      <c r="E6" s="15">
        <f>(('Zip 85&amp;100 (2)'!F6/(1+Korting!$B$3)*(1-Korting!$B$2)*Prijsmutaties!$B$9))</f>
        <v>970.35689950909079</v>
      </c>
      <c r="F6" s="15">
        <f>(('Zip 85&amp;100 (2)'!G6/(1+Korting!$B$3)*(1-Korting!$B$2)*Prijsmutaties!$B$9))</f>
        <v>1000.5661237390907</v>
      </c>
      <c r="G6" s="15">
        <f>(('Zip 85&amp;100 (2)'!H6/(1+Korting!$B$3)*(1-Korting!$B$2)*Prijsmutaties!$B$9))</f>
        <v>1039.0142273045451</v>
      </c>
      <c r="H6" s="15">
        <f>(('Zip 85&amp;100 (2)'!I6/(1+Korting!$B$3)*(1-Korting!$B$2)*Prijsmutaties!$B$9))</f>
        <v>1069.2234515345451</v>
      </c>
      <c r="I6" s="15">
        <f>(('Zip 85&amp;100 (2)'!J6/(1+Korting!$B$3)*(1-Korting!$B$2)*Prijsmutaties!$B$9))</f>
        <v>1104.009830950909</v>
      </c>
      <c r="J6" s="190">
        <f>(('Zip 85&amp;100 (2)'!K6/(1+Korting!$B$3)*(1-Korting!$B$2)*Prijsmutaties!$B$9))</f>
        <v>1139.7116414045452</v>
      </c>
      <c r="K6" s="15">
        <f>(('Zip 85&amp;100 (2)'!L6/(1+Korting!$B$3)*(1-Korting!$B$2)*Prijsmutaties!$B$9))</f>
        <v>1176.3288828954544</v>
      </c>
      <c r="L6" s="190">
        <f>(('Zip 85&amp;100 (2)'!M6/(1+Korting!$B$3)*(1-Korting!$B$2)*Prijsmutaties!$B$9))</f>
        <v>1206.5381071254544</v>
      </c>
      <c r="M6" s="15">
        <f>(('Zip 85&amp;100 (2)'!N6/(1+Korting!$B$3)*(1-Korting!$B$2)*Prijsmutaties!$B$9))</f>
        <v>1244.9862106909088</v>
      </c>
      <c r="N6" s="15">
        <f>(('Zip 85&amp;100 (2)'!O6/(1+Korting!$B$3)*(1-Korting!$B$2)*Prijsmutaties!$B$9))</f>
        <v>1275.1954349209091</v>
      </c>
      <c r="O6" s="15">
        <f>(('Zip 85&amp;100 (2)'!P6/(1+Korting!$B$3)*(1-Korting!$B$2)*Prijsmutaties!$B$9))</f>
        <v>1308.1509522627268</v>
      </c>
      <c r="P6" s="190">
        <f>(('Zip 85&amp;100 (2)'!Q6/(1+Korting!$B$3)*(1-Korting!$B$2)*Prijsmutaties!$B$9))</f>
        <v>1346.5990558281817</v>
      </c>
      <c r="Q6" s="15">
        <f>(('Zip 85&amp;100 (2)'!R6/(1+Korting!$B$3)*(1-Korting!$B$2)*Prijsmutaties!$B$9))</f>
        <v>1380.4700042072723</v>
      </c>
      <c r="R6" s="15">
        <f>(('Zip 85&amp;100 (2)'!S6/(1+Korting!$B$3)*(1-Korting!$B$2)*Prijsmutaties!$B$9))</f>
        <v>1408.8483663627269</v>
      </c>
      <c r="S6" s="5">
        <v>160</v>
      </c>
    </row>
    <row r="7" spans="1:21" ht="16.5" customHeight="1">
      <c r="A7" s="577"/>
      <c r="B7" s="13">
        <v>180</v>
      </c>
      <c r="C7" s="10">
        <f>(('Zip 85&amp;100 (2)'!D7/(1+Korting!$B$3)*(1-Korting!$B$2)*Prijsmutaties!$B$9))</f>
        <v>933.73965801818167</v>
      </c>
      <c r="D7" s="10">
        <f>(('Zip 85&amp;100 (2)'!E7/(1+Korting!$B$3)*(1-Korting!$B$2)*Prijsmutaties!$B$9))</f>
        <v>972.18776158363607</v>
      </c>
      <c r="E7" s="10">
        <f>(('Zip 85&amp;100 (2)'!F7/(1+Korting!$B$3)*(1-Korting!$B$2)*Prijsmutaties!$B$9))</f>
        <v>1002.3969858136361</v>
      </c>
      <c r="F7" s="10">
        <f>(('Zip 85&amp;100 (2)'!G7/(1+Korting!$B$3)*(1-Korting!$B$2)*Prijsmutaties!$B$9))</f>
        <v>1042.6759514536361</v>
      </c>
      <c r="G7" s="10">
        <f>(('Zip 85&amp;100 (2)'!H7/(1+Korting!$B$3)*(1-Korting!$B$2)*Prijsmutaties!$B$9))</f>
        <v>1083.870348130909</v>
      </c>
      <c r="H7" s="10">
        <f>(('Zip 85&amp;100 (2)'!I7/(1+Korting!$B$3)*(1-Korting!$B$2)*Prijsmutaties!$B$9))</f>
        <v>1115.9104344354544</v>
      </c>
      <c r="I7" s="10">
        <f>(('Zip 85&amp;100 (2)'!J7/(1+Korting!$B$3)*(1-Korting!$B$2)*Prijsmutaties!$B$9))</f>
        <v>1149.7813828145454</v>
      </c>
      <c r="J7" s="189">
        <f>(('Zip 85&amp;100 (2)'!K7/(1+Korting!$B$3)*(1-Korting!$B$2)*Prijsmutaties!$B$9))</f>
        <v>1190.9757794918178</v>
      </c>
      <c r="K7" s="10">
        <f>(('Zip 85&amp;100 (2)'!L7/(1+Korting!$B$3)*(1-Korting!$B$2)*Prijsmutaties!$B$9))</f>
        <v>1223.0158657963634</v>
      </c>
      <c r="L7" s="189">
        <f>(('Zip 85&amp;100 (2)'!M7/(1+Korting!$B$3)*(1-Korting!$B$2)*Prijsmutaties!$B$9))</f>
        <v>1261.4639693618178</v>
      </c>
      <c r="M7" s="10">
        <f>(('Zip 85&amp;100 (2)'!N7/(1+Korting!$B$3)*(1-Korting!$B$2)*Prijsmutaties!$B$9))</f>
        <v>1298.0812108527268</v>
      </c>
      <c r="N7" s="10">
        <f>(('Zip 85&amp;100 (2)'!O7/(1+Korting!$B$3)*(1-Korting!$B$2)*Prijsmutaties!$B$9))</f>
        <v>1336.5293144181815</v>
      </c>
      <c r="O7" s="10">
        <f>(('Zip 85&amp;100 (2)'!P7/(1+Korting!$B$3)*(1-Korting!$B$2)*Prijsmutaties!$B$9))</f>
        <v>1368.5694007227269</v>
      </c>
      <c r="P7" s="189">
        <f>(('Zip 85&amp;100 (2)'!Q7/(1+Korting!$B$3)*(1-Korting!$B$2)*Prijsmutaties!$B$9))</f>
        <v>1407.0175042881815</v>
      </c>
      <c r="Q7" s="10">
        <f>(('Zip 85&amp;100 (2)'!R7/(1+Korting!$B$3)*(1-Korting!$B$2)*Prijsmutaties!$B$9))</f>
        <v>1440.8884526672725</v>
      </c>
      <c r="R7" s="10">
        <f>(('Zip 85&amp;100 (2)'!S7/(1+Korting!$B$3)*(1-Korting!$B$2)*Prijsmutaties!$B$9))</f>
        <v>1481.1674183072723</v>
      </c>
      <c r="S7" s="13">
        <v>180</v>
      </c>
    </row>
    <row r="8" spans="1:21" ht="16.5" customHeight="1" thickBot="1">
      <c r="A8" s="577"/>
      <c r="B8" s="436">
        <v>200</v>
      </c>
      <c r="C8" s="260">
        <f>(('Zip 85&amp;100 (2)'!D8/(1+Korting!$B$3)*(1-Korting!$B$2)*Prijsmutaties!$B$9))</f>
        <v>966.69517535999978</v>
      </c>
      <c r="D8" s="260">
        <f>(('Zip 85&amp;100 (2)'!E8/(1+Korting!$B$3)*(1-Korting!$B$2)*Prijsmutaties!$B$9))</f>
        <v>1005.1432789254544</v>
      </c>
      <c r="E8" s="260">
        <f>(('Zip 85&amp;100 (2)'!F8/(1+Korting!$B$3)*(1-Korting!$B$2)*Prijsmutaties!$B$9))</f>
        <v>1049.0839687145451</v>
      </c>
      <c r="F8" s="260">
        <f>(('Zip 85&amp;100 (2)'!G8/(1+Korting!$B$3)*(1-Korting!$B$2)*Prijsmutaties!$B$9))</f>
        <v>1087.5320722799997</v>
      </c>
      <c r="G8" s="260">
        <f>(('Zip 85&amp;100 (2)'!H8/(1+Korting!$B$3)*(1-Korting!$B$2)*Prijsmutaties!$B$9))</f>
        <v>1124.1493137709087</v>
      </c>
      <c r="H8" s="260">
        <f>(('Zip 85&amp;100 (2)'!I8/(1+Korting!$B$3)*(1-Korting!$B$2)*Prijsmutaties!$B$9))</f>
        <v>1160.7665552618178</v>
      </c>
      <c r="I8" s="260">
        <f>(('Zip 85&amp;100 (2)'!J8/(1+Korting!$B$3)*(1-Korting!$B$2)*Prijsmutaties!$B$9))</f>
        <v>1204.707245050909</v>
      </c>
      <c r="J8" s="413">
        <f>(('Zip 85&amp;100 (2)'!K8/(1+Korting!$B$3)*(1-Korting!$B$2)*Prijsmutaties!$B$9))</f>
        <v>1243.1553486163634</v>
      </c>
      <c r="K8" s="260">
        <f>(('Zip 85&amp;100 (2)'!L8/(1+Korting!$B$3)*(1-Korting!$B$2)*Prijsmutaties!$B$9))</f>
        <v>1279.7725901072724</v>
      </c>
      <c r="L8" s="413">
        <f>(('Zip 85&amp;100 (2)'!M8/(1+Korting!$B$3)*(1-Korting!$B$2)*Prijsmutaties!$B$9))</f>
        <v>1320.0515557472725</v>
      </c>
      <c r="M8" s="260">
        <f>(('Zip 85&amp;100 (2)'!N8/(1+Korting!$B$3)*(1-Korting!$B$2)*Prijsmutaties!$B$9))</f>
        <v>1363.9922455363633</v>
      </c>
      <c r="N8" s="260">
        <f>(('Zip 85&amp;100 (2)'!O8/(1+Korting!$B$3)*(1-Korting!$B$2)*Prijsmutaties!$B$9))</f>
        <v>1398.7786249527271</v>
      </c>
      <c r="O8" s="260">
        <f>(('Zip 85&amp;100 (2)'!P8/(1+Korting!$B$3)*(1-Korting!$B$2)*Prijsmutaties!$B$9))</f>
        <v>1439.0575905927269</v>
      </c>
      <c r="P8" s="413">
        <f>(('Zip 85&amp;100 (2)'!Q8/(1+Korting!$B$3)*(1-Korting!$B$2)*Prijsmutaties!$B$9))</f>
        <v>1477.5056941581818</v>
      </c>
      <c r="Q8" s="260">
        <f>(('Zip 85&amp;100 (2)'!R8/(1+Korting!$B$3)*(1-Korting!$B$2)*Prijsmutaties!$B$9))</f>
        <v>1515.9537977236362</v>
      </c>
      <c r="R8" s="260">
        <f>(('Zip 85&amp;100 (2)'!S8/(1+Korting!$B$3)*(1-Korting!$B$2)*Prijsmutaties!$B$9))</f>
        <v>1554.4019012890906</v>
      </c>
      <c r="S8" s="436">
        <v>200</v>
      </c>
    </row>
    <row r="9" spans="1:21" ht="16.5" customHeight="1">
      <c r="A9" s="577"/>
      <c r="B9" s="331">
        <v>220</v>
      </c>
      <c r="C9" s="333">
        <f>(('Zip 85&amp;100 (2)'!D9/(1+Korting!$B$3)*(1-Korting!$B$2)*Prijsmutaties!$B$9))</f>
        <v>995.07353751545429</v>
      </c>
      <c r="D9" s="333">
        <f>(('Zip 85&amp;100 (2)'!E9/(1+Korting!$B$3)*(1-Korting!$B$2)*Prijsmutaties!$B$9))</f>
        <v>1040.8450893790905</v>
      </c>
      <c r="E9" s="333">
        <f>(('Zip 85&amp;100 (2)'!F9/(1+Korting!$B$3)*(1-Korting!$B$2)*Prijsmutaties!$B$9))</f>
        <v>1081.1240550190907</v>
      </c>
      <c r="F9" s="333">
        <f>(('Zip 85&amp;100 (2)'!G9/(1+Korting!$B$3)*(1-Korting!$B$2)*Prijsmutaties!$B$9))</f>
        <v>1117.7412965099998</v>
      </c>
      <c r="G9" s="333">
        <f>(('Zip 85&amp;100 (2)'!H9/(1+Korting!$B$3)*(1-Korting!$B$2)*Prijsmutaties!$B$9))</f>
        <v>1162.5974173363632</v>
      </c>
      <c r="H9" s="333">
        <f>(('Zip 85&amp;100 (2)'!I9/(1+Korting!$B$3)*(1-Korting!$B$2)*Prijsmutaties!$B$9))</f>
        <v>1204.707245050909</v>
      </c>
      <c r="I9" s="333">
        <f>(('Zip 85&amp;100 (2)'!J9/(1+Korting!$B$3)*(1-Korting!$B$2)*Prijsmutaties!$B$9))</f>
        <v>1243.1553486163634</v>
      </c>
      <c r="J9" s="437">
        <f>(('Zip 85&amp;100 (2)'!K9/(1+Korting!$B$3)*(1-Korting!$B$2)*Prijsmutaties!$B$9))</f>
        <v>1283.4343142563632</v>
      </c>
      <c r="K9" s="333">
        <f>(('Zip 85&amp;100 (2)'!L9/(1+Korting!$B$3)*(1-Korting!$B$2)*Prijsmutaties!$B$9))</f>
        <v>1328.2904350827271</v>
      </c>
      <c r="L9" s="437">
        <f>(('Zip 85&amp;100 (2)'!M9/(1+Korting!$B$3)*(1-Korting!$B$2)*Prijsmutaties!$B$9))</f>
        <v>1368.5694007227269</v>
      </c>
      <c r="M9" s="333">
        <f>(('Zip 85&amp;100 (2)'!N9/(1+Korting!$B$3)*(1-Korting!$B$2)*Prijsmutaties!$B$9))</f>
        <v>1405.1866422136359</v>
      </c>
      <c r="N9" s="333">
        <f>(('Zip 85&amp;100 (2)'!O9/(1+Korting!$B$3)*(1-Korting!$B$2)*Prijsmutaties!$B$9))</f>
        <v>1445.4656078536361</v>
      </c>
      <c r="O9" s="333">
        <f>(('Zip 85&amp;100 (2)'!P9/(1+Korting!$B$3)*(1-Korting!$B$2)*Prijsmutaties!$B$9))</f>
        <v>1493.9834528290905</v>
      </c>
      <c r="P9" s="437">
        <f>(('Zip 85&amp;100 (2)'!Q9/(1+Korting!$B$3)*(1-Korting!$B$2)*Prijsmutaties!$B$9))</f>
        <v>1532.4315563945449</v>
      </c>
      <c r="Q9" s="333">
        <f>(('Zip 85&amp;100 (2)'!R9/(1+Korting!$B$3)*(1-Korting!$B$2)*Prijsmutaties!$B$9))</f>
        <v>1572.7105220345452</v>
      </c>
      <c r="R9" s="333">
        <f>(('Zip 85&amp;100 (2)'!S9/(1+Korting!$B$3)*(1-Korting!$B$2)*Prijsmutaties!$B$9))</f>
        <v>1611.1586255999996</v>
      </c>
      <c r="S9" s="438">
        <v>220</v>
      </c>
    </row>
    <row r="10" spans="1:21" ht="16.5" customHeight="1">
      <c r="A10" s="577"/>
      <c r="B10" s="439">
        <v>240</v>
      </c>
      <c r="C10" s="15">
        <f>(('Zip 85&amp;100 (2)'!D10/(1+Korting!$B$3)*(1-Korting!$B$2)*Prijsmutaties!$B$9))</f>
        <v>1028.9444858945453</v>
      </c>
      <c r="D10" s="15">
        <f>(('Zip 85&amp;100 (2)'!E10/(1+Korting!$B$3)*(1-Korting!$B$2)*Prijsmutaties!$B$9))</f>
        <v>1073.8006067209089</v>
      </c>
      <c r="E10" s="15">
        <f>(('Zip 85&amp;100 (2)'!F10/(1+Korting!$B$3)*(1-Korting!$B$2)*Prijsmutaties!$B$9))</f>
        <v>1112.2487102863633</v>
      </c>
      <c r="F10" s="15">
        <f>(('Zip 85&amp;100 (2)'!G10/(1+Korting!$B$3)*(1-Korting!$B$2)*Prijsmutaties!$B$9))</f>
        <v>1156.1894000754544</v>
      </c>
      <c r="G10" s="15">
        <f>(('Zip 85&amp;100 (2)'!H10/(1+Korting!$B$3)*(1-Korting!$B$2)*Prijsmutaties!$B$9))</f>
        <v>1202.8763829763634</v>
      </c>
      <c r="H10" s="15">
        <f>(('Zip 85&amp;100 (2)'!I10/(1+Korting!$B$3)*(1-Korting!$B$2)*Prijsmutaties!$B$9))</f>
        <v>1246.8170727654542</v>
      </c>
      <c r="I10" s="15">
        <f>(('Zip 85&amp;100 (2)'!J10/(1+Korting!$B$3)*(1-Korting!$B$2)*Prijsmutaties!$B$9))</f>
        <v>1289.8423315172724</v>
      </c>
      <c r="J10" s="190">
        <f>(('Zip 85&amp;100 (2)'!K10/(1+Korting!$B$3)*(1-Korting!$B$2)*Prijsmutaties!$B$9))</f>
        <v>1333.7830213063635</v>
      </c>
      <c r="K10" s="15">
        <f>(('Zip 85&amp;100 (2)'!L10/(1+Korting!$B$3)*(1-Korting!$B$2)*Prijsmutaties!$B$9))</f>
        <v>1380.4700042072723</v>
      </c>
      <c r="L10" s="190">
        <f>(('Zip 85&amp;100 (2)'!M10/(1+Korting!$B$3)*(1-Korting!$B$2)*Prijsmutaties!$B$9))</f>
        <v>1422.5798319218179</v>
      </c>
      <c r="M10" s="15">
        <f>(('Zip 85&amp;100 (2)'!N10/(1+Korting!$B$3)*(1-Korting!$B$2)*Prijsmutaties!$B$9))</f>
        <v>1467.4359527481815</v>
      </c>
      <c r="N10" s="15">
        <f>(('Zip 85&amp;100 (2)'!O10/(1+Korting!$B$3)*(1-Korting!$B$2)*Prijsmutaties!$B$9))</f>
        <v>1507.7149183881813</v>
      </c>
      <c r="O10" s="15">
        <f>(('Zip 85&amp;100 (2)'!P10/(1+Korting!$B$3)*(1-Korting!$B$2)*Prijsmutaties!$B$9))</f>
        <v>1547.9938840281816</v>
      </c>
      <c r="P10" s="190">
        <f>(('Zip 85&amp;100 (2)'!Q10/(1+Korting!$B$3)*(1-Korting!$B$2)*Prijsmutaties!$B$9))</f>
        <v>1592.850004854545</v>
      </c>
      <c r="Q10" s="15">
        <f>(('Zip 85&amp;100 (2)'!R10/(1+Korting!$B$3)*(1-Korting!$B$2)*Prijsmutaties!$B$9))</f>
        <v>1641.3678498299996</v>
      </c>
      <c r="R10" s="15">
        <f>(('Zip 85&amp;100 (2)'!S10/(1+Korting!$B$3)*(1-Korting!$B$2)*Prijsmutaties!$B$9))</f>
        <v>1685.3085396190904</v>
      </c>
      <c r="S10" s="440">
        <v>240</v>
      </c>
    </row>
    <row r="11" spans="1:21" ht="16.5" customHeight="1">
      <c r="A11" s="577"/>
      <c r="B11" s="339">
        <v>260</v>
      </c>
      <c r="C11" s="10">
        <f>(('Zip 85&amp;100 (2)'!D11/(1+Korting!$B$3)*(1-Korting!$B$2)*Prijsmutaties!$B$9))</f>
        <v>1060.9845721990907</v>
      </c>
      <c r="D11" s="10">
        <f>(('Zip 85&amp;100 (2)'!E11/(1+Korting!$B$3)*(1-Korting!$B$2)*Prijsmutaties!$B$9))</f>
        <v>1112.2487102863633</v>
      </c>
      <c r="E11" s="10">
        <f>(('Zip 85&amp;100 (2)'!F11/(1+Korting!$B$3)*(1-Korting!$B$2)*Prijsmutaties!$B$9))</f>
        <v>1156.1894000754544</v>
      </c>
      <c r="F11" s="10">
        <f>(('Zip 85&amp;100 (2)'!G11/(1+Korting!$B$3)*(1-Korting!$B$2)*Prijsmutaties!$B$9))</f>
        <v>1202.8763829763634</v>
      </c>
      <c r="G11" s="10">
        <f>(('Zip 85&amp;100 (2)'!H11/(1+Korting!$B$3)*(1-Korting!$B$2)*Prijsmutaties!$B$9))</f>
        <v>1249.5633658772724</v>
      </c>
      <c r="H11" s="10">
        <f>(('Zip 85&amp;100 (2)'!I11/(1+Korting!$B$3)*(1-Korting!$B$2)*Prijsmutaties!$B$9))</f>
        <v>1289.8423315172724</v>
      </c>
      <c r="I11" s="10">
        <f>(('Zip 85&amp;100 (2)'!J11/(1+Korting!$B$3)*(1-Korting!$B$2)*Prijsmutaties!$B$9))</f>
        <v>1338.3601764927271</v>
      </c>
      <c r="J11" s="189">
        <f>(('Zip 85&amp;100 (2)'!K11/(1+Korting!$B$3)*(1-Korting!$B$2)*Prijsmutaties!$B$9))</f>
        <v>1376.8082800581815</v>
      </c>
      <c r="K11" s="10">
        <f>(('Zip 85&amp;100 (2)'!L11/(1+Korting!$B$3)*(1-Korting!$B$2)*Prijsmutaties!$B$9))</f>
        <v>1417.0872456981817</v>
      </c>
      <c r="L11" s="189">
        <f>(('Zip 85&amp;100 (2)'!M11/(1+Korting!$B$3)*(1-Korting!$B$2)*Prijsmutaties!$B$9))</f>
        <v>1469.2668148227269</v>
      </c>
      <c r="M11" s="10">
        <f>(('Zip 85&amp;100 (2)'!N11/(1+Korting!$B$3)*(1-Korting!$B$2)*Prijsmutaties!$B$9))</f>
        <v>1515.9537977236362</v>
      </c>
      <c r="N11" s="10">
        <f>(('Zip 85&amp;100 (2)'!O11/(1+Korting!$B$3)*(1-Korting!$B$2)*Prijsmutaties!$B$9))</f>
        <v>1558.0636254381814</v>
      </c>
      <c r="O11" s="10">
        <f>(('Zip 85&amp;100 (2)'!P11/(1+Korting!$B$3)*(1-Korting!$B$2)*Prijsmutaties!$B$9))</f>
        <v>1602.919746264545</v>
      </c>
      <c r="P11" s="189">
        <f>(('Zip 85&amp;100 (2)'!Q11/(1+Korting!$B$3)*(1-Korting!$B$2)*Prijsmutaties!$B$9))</f>
        <v>1653.268453314545</v>
      </c>
      <c r="Q11" s="10">
        <f>(('Zip 85&amp;100 (2)'!R11/(1+Korting!$B$3)*(1-Korting!$B$2)*Prijsmutaties!$B$9))</f>
        <v>1699.955436215454</v>
      </c>
      <c r="R11" s="10">
        <f>(('Zip 85&amp;100 (2)'!S11/(1+Korting!$B$3)*(1-Korting!$B$2)*Prijsmutaties!$B$9))</f>
        <v>1752.1350053399997</v>
      </c>
      <c r="S11" s="363">
        <v>260</v>
      </c>
    </row>
    <row r="12" spans="1:21" ht="12.75" customHeight="1">
      <c r="A12" s="577"/>
      <c r="B12" s="441">
        <v>280</v>
      </c>
      <c r="C12" s="260">
        <f>(('Zip 85&amp;100 (2)'!D12/(1+Korting!$B$3)*(1-Korting!$B$2)*Prijsmutaties!$B$9))</f>
        <v>1095.7709516154544</v>
      </c>
      <c r="D12" s="260">
        <f>(('Zip 85&amp;100 (2)'!E12/(1+Korting!$B$3)*(1-Korting!$B$2)*Prijsmutaties!$B$9))</f>
        <v>1146.1196586654544</v>
      </c>
      <c r="E12" s="260">
        <f>(('Zip 85&amp;100 (2)'!F12/(1+Korting!$B$3)*(1-Korting!$B$2)*Prijsmutaties!$B$9))</f>
        <v>1192.8066415663634</v>
      </c>
      <c r="F12" s="260">
        <f>(('Zip 85&amp;100 (2)'!G12/(1+Korting!$B$3)*(1-Korting!$B$2)*Prijsmutaties!$B$9))</f>
        <v>1233.0856072063634</v>
      </c>
      <c r="G12" s="260">
        <f>(('Zip 85&amp;100 (2)'!H12/(1+Korting!$B$3)*(1-Korting!$B$2)*Prijsmutaties!$B$9))</f>
        <v>1283.4343142563632</v>
      </c>
      <c r="H12" s="260">
        <f>(('Zip 85&amp;100 (2)'!I12/(1+Korting!$B$3)*(1-Korting!$B$2)*Prijsmutaties!$B$9))</f>
        <v>1333.7830213063635</v>
      </c>
      <c r="I12" s="260">
        <f>(('Zip 85&amp;100 (2)'!J12/(1+Korting!$B$3)*(1-Korting!$B$2)*Prijsmutaties!$B$9))</f>
        <v>1385.0471593936361</v>
      </c>
      <c r="J12" s="260">
        <f>(('Zip 85&amp;100 (2)'!K12/(1+Korting!$B$3)*(1-Korting!$B$2)*Prijsmutaties!$B$9))</f>
        <v>1410.6792284372723</v>
      </c>
      <c r="K12" s="260">
        <f>(('Zip 85&amp;100 (2)'!L12/(1+Korting!$B$3)*(1-Korting!$B$2)*Prijsmutaties!$B$9))</f>
        <v>1465.6050906736361</v>
      </c>
      <c r="L12" s="260">
        <f>(('Zip 85&amp;100 (2)'!M12/(1+Korting!$B$3)*(1-Korting!$B$2)*Prijsmutaties!$B$9))</f>
        <v>1507.7149183881813</v>
      </c>
      <c r="M12" s="260">
        <f>(('Zip 85&amp;100 (2)'!N12/(1+Korting!$B$3)*(1-Korting!$B$2)*Prijsmutaties!$B$9))</f>
        <v>1552.571039214545</v>
      </c>
      <c r="N12" s="260">
        <f>(('Zip 85&amp;100 (2)'!O12/(1+Korting!$B$3)*(1-Korting!$B$2)*Prijsmutaties!$B$9))</f>
        <v>1604.7506083390904</v>
      </c>
      <c r="O12" s="260">
        <f>(('Zip 85&amp;100 (2)'!P12/(1+Korting!$B$3)*(1-Korting!$B$2)*Prijsmutaties!$B$9))</f>
        <v>1653.268453314545</v>
      </c>
      <c r="P12" s="260">
        <f>(('Zip 85&amp;100 (2)'!Q12/(1+Korting!$B$3)*(1-Korting!$B$2)*Prijsmutaties!$B$9))</f>
        <v>1698.1245741409086</v>
      </c>
      <c r="Q12" s="260">
        <f>(('Zip 85&amp;100 (2)'!R12/(1+Korting!$B$3)*(1-Korting!$B$2)*Prijsmutaties!$B$9))</f>
        <v>1746.642419116363</v>
      </c>
      <c r="R12" s="260">
        <f>(('Zip 85&amp;100 (2)'!S12/(1+Korting!$B$3)*(1-Korting!$B$2)*Prijsmutaties!$B$9))</f>
        <v>1795.1602640918181</v>
      </c>
      <c r="S12" s="442">
        <v>280</v>
      </c>
    </row>
    <row r="13" spans="1:21" ht="16.5" customHeight="1">
      <c r="A13" s="612"/>
      <c r="B13" s="9">
        <v>300</v>
      </c>
      <c r="C13" s="10">
        <f>(('Zip 85&amp;100 (2)'!D13/(1+Korting!$B$3)*(1-Korting!$B$2)*Prijsmutaties!$B$9))</f>
        <v>1115.9104344354544</v>
      </c>
      <c r="D13" s="10">
        <f>(('Zip 85&amp;100 (2)'!E13/(1+Korting!$B$3)*(1-Korting!$B$2)*Prijsmutaties!$B$9))</f>
        <v>1166.2591414854542</v>
      </c>
      <c r="E13" s="10">
        <f>(('Zip 85&amp;100 (2)'!F13/(1+Korting!$B$3)*(1-Korting!$B$2)*Prijsmutaties!$B$9))</f>
        <v>1214.7769864609086</v>
      </c>
      <c r="F13" s="10">
        <f>(('Zip 85&amp;100 (2)'!G13/(1+Korting!$B$3)*(1-Korting!$B$2)*Prijsmutaties!$B$9))</f>
        <v>1261.4639693618178</v>
      </c>
      <c r="G13" s="10">
        <f>(('Zip 85&amp;100 (2)'!H13/(1+Korting!$B$3)*(1-Korting!$B$2)*Prijsmutaties!$B$9))</f>
        <v>1311.8126764118178</v>
      </c>
      <c r="H13" s="10">
        <f>(('Zip 85&amp;100 (2)'!I13/(1+Korting!$B$3)*(1-Korting!$B$2)*Prijsmutaties!$B$9))</f>
        <v>1362.1613834618179</v>
      </c>
      <c r="I13" s="10">
        <f>(('Zip 85&amp;100 (2)'!J13/(1+Korting!$B$3)*(1-Korting!$B$2)*Prijsmutaties!$B$9))</f>
        <v>1407.0175042881815</v>
      </c>
      <c r="J13" s="189">
        <f>(('Zip 85&amp;100 (2)'!K13/(1+Korting!$B$3)*(1-Korting!$B$2)*Prijsmutaties!$B$9))</f>
        <v>1437.2267285181815</v>
      </c>
      <c r="K13" s="10">
        <f>(('Zip 85&amp;100 (2)'!L13/(1+Korting!$B$3)*(1-Korting!$B$2)*Prijsmutaties!$B$9))</f>
        <v>1489.4062976427269</v>
      </c>
      <c r="L13" s="189">
        <f>(('Zip 85&amp;100 (2)'!M13/(1+Korting!$B$3)*(1-Korting!$B$2)*Prijsmutaties!$B$9))</f>
        <v>1534.2624184690906</v>
      </c>
      <c r="M13" s="10">
        <f>(('Zip 85&amp;100 (2)'!N13/(1+Korting!$B$3)*(1-Korting!$B$2)*Prijsmutaties!$B$9))</f>
        <v>1584.6111255190906</v>
      </c>
      <c r="N13" s="10">
        <f>(('Zip 85&amp;100 (2)'!O13/(1+Korting!$B$3)*(1-Korting!$B$2)*Prijsmutaties!$B$9))</f>
        <v>1645.0295739790906</v>
      </c>
      <c r="O13" s="10">
        <f>(('Zip 85&amp;100 (2)'!P13/(1+Korting!$B$3)*(1-Korting!$B$2)*Prijsmutaties!$B$9))</f>
        <v>1685.3085396190904</v>
      </c>
      <c r="P13" s="189">
        <f>(('Zip 85&amp;100 (2)'!Q13/(1+Korting!$B$3)*(1-Korting!$B$2)*Prijsmutaties!$B$9))</f>
        <v>1731.9955225199997</v>
      </c>
      <c r="Q13" s="10">
        <f>(('Zip 85&amp;100 (2)'!R13/(1+Korting!$B$3)*(1-Korting!$B$2)*Prijsmutaties!$B$9))</f>
        <v>1776.8516433463633</v>
      </c>
      <c r="R13" s="10">
        <f>(('Zip 85&amp;100 (2)'!S13/(1+Korting!$B$3)*(1-Korting!$B$2)*Prijsmutaties!$B$9))</f>
        <v>1830.8620745454541</v>
      </c>
      <c r="S13" s="363">
        <v>300</v>
      </c>
    </row>
    <row r="14" spans="1:21" ht="16.5" customHeight="1">
      <c r="A14" s="612"/>
      <c r="B14" s="14">
        <v>320</v>
      </c>
      <c r="C14" s="226"/>
      <c r="D14" s="226"/>
      <c r="E14" s="226"/>
      <c r="F14" s="15">
        <f>(('Zip 85&amp;100 (2)'!G14/(1+Korting!$B$3)*(1-Korting!$B$2)*Prijsmutaties!$B$9))</f>
        <v>1295.3349177409088</v>
      </c>
      <c r="G14" s="15">
        <f>(('Zip 85&amp;100 (2)'!H14/(1+Korting!$B$3)*(1-Korting!$B$2)*Prijsmutaties!$B$9))</f>
        <v>1348.4299179027271</v>
      </c>
      <c r="H14" s="15">
        <f>(('Zip 85&amp;100 (2)'!I14/(1+Korting!$B$3)*(1-Korting!$B$2)*Prijsmutaties!$B$9))</f>
        <v>1395.1169008036361</v>
      </c>
      <c r="I14" s="15">
        <f>(('Zip 85&amp;100 (2)'!J14/(1+Korting!$B$3)*(1-Korting!$B$2)*Prijsmutaties!$B$9))</f>
        <v>1439.0575905927269</v>
      </c>
      <c r="J14" s="190">
        <f>(('Zip 85&amp;100 (2)'!K14/(1+Korting!$B$3)*(1-Korting!$B$2)*Prijsmutaties!$B$9))</f>
        <v>1473.8439700090905</v>
      </c>
      <c r="K14" s="15">
        <f>(('Zip 85&amp;100 (2)'!L14/(1+Korting!$B$3)*(1-Korting!$B$2)*Prijsmutaties!$B$9))</f>
        <v>1522.3618149845452</v>
      </c>
      <c r="L14" s="190">
        <f>(('Zip 85&amp;100 (2)'!M14/(1+Korting!$B$3)*(1-Korting!$B$2)*Prijsmutaties!$B$9))</f>
        <v>1570.8796599599998</v>
      </c>
      <c r="M14" s="15">
        <f>(('Zip 85&amp;100 (2)'!N14/(1+Korting!$B$3)*(1-Korting!$B$2)*Prijsmutaties!$B$9))</f>
        <v>1614.8203497490906</v>
      </c>
      <c r="N14" s="15">
        <f>(('Zip 85&amp;100 (2)'!O14/(1+Korting!$B$3)*(1-Korting!$B$2)*Prijsmutaties!$B$9))</f>
        <v>1673.407936134545</v>
      </c>
      <c r="O14" s="15">
        <f>(('Zip 85&amp;100 (2)'!P14/(1+Korting!$B$3)*(1-Korting!$B$2)*Prijsmutaties!$B$9))</f>
        <v>1718.2640569609089</v>
      </c>
      <c r="P14" s="190">
        <f>(('Zip 85&amp;100 (2)'!Q14/(1+Korting!$B$3)*(1-Korting!$B$2)*Prijsmutaties!$B$9))</f>
        <v>1770.4436260854543</v>
      </c>
      <c r="Q14" s="15">
        <f>(('Zip 85&amp;100 (2)'!R14/(1+Korting!$B$3)*(1-Korting!$B$2)*Prijsmutaties!$B$9))</f>
        <v>1810.7225917254543</v>
      </c>
      <c r="R14" s="226"/>
      <c r="S14" s="440">
        <v>320</v>
      </c>
    </row>
    <row r="15" spans="1:21" ht="16.5" customHeight="1" thickBot="1">
      <c r="A15" s="612"/>
      <c r="B15" s="345">
        <v>340</v>
      </c>
      <c r="C15" s="443"/>
      <c r="D15" s="443"/>
      <c r="E15" s="443"/>
      <c r="F15" s="443"/>
      <c r="G15" s="443"/>
      <c r="H15" s="342">
        <f>(('Zip 85&amp;100 (2)'!I15/(1+Korting!$B$3)*(1-Korting!$B$2)*Prijsmutaties!$B$9))</f>
        <v>1432.6495733318179</v>
      </c>
      <c r="I15" s="342">
        <f>(('Zip 85&amp;100 (2)'!J15/(1+Korting!$B$3)*(1-Korting!$B$2)*Prijsmutaties!$B$9))</f>
        <v>1475.6748320836359</v>
      </c>
      <c r="J15" s="444">
        <f>(('Zip 85&amp;100 (2)'!K15/(1+Korting!$B$3)*(1-Korting!$B$2)*Prijsmutaties!$B$9))</f>
        <v>1505.8840563136359</v>
      </c>
      <c r="K15" s="342">
        <f>(('Zip 85&amp;100 (2)'!L15/(1+Korting!$B$3)*(1-Korting!$B$2)*Prijsmutaties!$B$9))</f>
        <v>1554.4019012890906</v>
      </c>
      <c r="L15" s="444">
        <f>(('Zip 85&amp;100 (2)'!M15/(1+Korting!$B$3)*(1-Korting!$B$2)*Prijsmutaties!$B$9))</f>
        <v>1604.7506083390904</v>
      </c>
      <c r="M15" s="342">
        <f>(('Zip 85&amp;100 (2)'!N15/(1+Korting!$B$3)*(1-Korting!$B$2)*Prijsmutaties!$B$9))</f>
        <v>1653.268453314545</v>
      </c>
      <c r="N15" s="342">
        <f>(('Zip 85&amp;100 (2)'!O15/(1+Korting!$B$3)*(1-Korting!$B$2)*Prijsmutaties!$B$9))</f>
        <v>1711.8560396999997</v>
      </c>
      <c r="O15" s="342">
        <f>(('Zip 85&amp;100 (2)'!P15/(1+Korting!$B$3)*(1-Korting!$B$2)*Prijsmutaties!$B$9))</f>
        <v>1753.9658674145451</v>
      </c>
      <c r="P15" s="444">
        <f>(('Zip 85&amp;100 (2)'!Q15/(1+Korting!$B$3)*(1-Korting!$B$2)*Prijsmutaties!$B$9))</f>
        <v>1805.2300055018177</v>
      </c>
      <c r="Q15" s="443"/>
      <c r="R15" s="443"/>
      <c r="S15" s="445">
        <v>340</v>
      </c>
    </row>
    <row r="16" spans="1:21" ht="16.5" customHeight="1">
      <c r="A16" s="612"/>
      <c r="B16" s="600"/>
      <c r="C16" s="600"/>
      <c r="D16" s="600"/>
      <c r="E16" s="600"/>
      <c r="F16" s="600"/>
      <c r="G16" s="600"/>
      <c r="H16" s="600"/>
      <c r="I16" s="600"/>
      <c r="J16" s="600"/>
      <c r="K16" s="600"/>
      <c r="L16" s="600"/>
      <c r="M16" s="600"/>
      <c r="N16" s="600"/>
      <c r="O16" s="600"/>
      <c r="P16" s="600"/>
      <c r="Q16" s="600"/>
      <c r="R16" s="600"/>
      <c r="S16" s="600"/>
    </row>
    <row r="17" spans="1:20" ht="16.5" customHeight="1">
      <c r="A17" s="612"/>
      <c r="B17" s="30"/>
      <c r="C17" s="534" t="s">
        <v>3</v>
      </c>
      <c r="D17" s="535"/>
      <c r="E17" s="535"/>
      <c r="F17" s="535"/>
      <c r="G17" s="535"/>
      <c r="H17" s="535"/>
      <c r="I17" s="535"/>
      <c r="J17" s="535"/>
      <c r="K17" s="535"/>
      <c r="L17" s="535"/>
      <c r="M17" s="75"/>
      <c r="N17" s="75"/>
      <c r="O17" s="75"/>
      <c r="P17" s="193"/>
      <c r="Q17" s="75"/>
      <c r="R17" s="75"/>
      <c r="S17" s="75"/>
    </row>
    <row r="18" spans="1:20" ht="16.5" customHeight="1">
      <c r="A18" s="612"/>
      <c r="B18" s="34" t="s">
        <v>4</v>
      </c>
      <c r="C18" s="5">
        <v>100</v>
      </c>
      <c r="D18" s="5">
        <v>120</v>
      </c>
      <c r="E18" s="5">
        <v>140</v>
      </c>
      <c r="F18" s="5">
        <v>160</v>
      </c>
      <c r="G18" s="5">
        <v>180</v>
      </c>
      <c r="H18" s="5">
        <v>200</v>
      </c>
      <c r="I18" s="5">
        <v>220</v>
      </c>
      <c r="J18" s="188">
        <v>240</v>
      </c>
      <c r="K18" s="5">
        <v>260</v>
      </c>
      <c r="L18" s="188">
        <v>280</v>
      </c>
      <c r="M18" s="5">
        <v>300</v>
      </c>
      <c r="N18" s="5">
        <v>320</v>
      </c>
      <c r="O18" s="5">
        <v>340</v>
      </c>
      <c r="P18" s="188">
        <v>360</v>
      </c>
      <c r="Q18" s="5">
        <v>380</v>
      </c>
      <c r="R18" s="5">
        <v>400</v>
      </c>
      <c r="S18" s="8"/>
    </row>
    <row r="19" spans="1:20" ht="16.5" customHeight="1">
      <c r="A19" s="612"/>
      <c r="B19" s="446" t="s">
        <v>5</v>
      </c>
      <c r="C19" s="10">
        <f>(('Zip 85&amp;100 (2)'!D19/(1+Korting!$B$3)*(1-Korting!$B$2)*Prijsmutaties!$B$9))</f>
        <v>198.64853508818177</v>
      </c>
      <c r="D19" s="10">
        <f>(('Zip 85&amp;100 (2)'!E19/(1+Korting!$B$3)*(1-Korting!$B$2)*Prijsmutaties!$B$9))</f>
        <v>198.64853508818177</v>
      </c>
      <c r="E19" s="10">
        <f>(('Zip 85&amp;100 (2)'!F19/(1+Korting!$B$3)*(1-Korting!$B$2)*Prijsmutaties!$B$9))</f>
        <v>198.64853508818177</v>
      </c>
      <c r="F19" s="10">
        <f>(('Zip 85&amp;100 (2)'!G19/(1+Korting!$B$3)*(1-Korting!$B$2)*Prijsmutaties!$B$9))</f>
        <v>198.64853508818177</v>
      </c>
      <c r="G19" s="10">
        <f>(('Zip 85&amp;100 (2)'!H19/(1+Korting!$B$3)*(1-Korting!$B$2)*Prijsmutaties!$B$9))</f>
        <v>198.64853508818177</v>
      </c>
      <c r="H19" s="10">
        <f>(('Zip 85&amp;100 (2)'!I19/(1+Korting!$B$3)*(1-Korting!$B$2)*Prijsmutaties!$B$9))</f>
        <v>255.40525939909082</v>
      </c>
      <c r="I19" s="10">
        <f>(('Zip 85&amp;100 (2)'!J19/(1+Korting!$B$3)*(1-Korting!$B$2)*Prijsmutaties!$B$9))</f>
        <v>255.40525939909082</v>
      </c>
      <c r="J19" s="189">
        <f>(('Zip 85&amp;100 (2)'!K19/(1+Korting!$B$3)*(1-Korting!$B$2)*Prijsmutaties!$B$9))</f>
        <v>255.40525939909082</v>
      </c>
      <c r="K19" s="10">
        <f>(('Zip 85&amp;100 (2)'!L19/(1+Korting!$B$3)*(1-Korting!$B$2)*Prijsmutaties!$B$9))</f>
        <v>255.40525939909082</v>
      </c>
      <c r="L19" s="189">
        <f>(('Zip 85&amp;100 (2)'!M19/(1+Korting!$B$3)*(1-Korting!$B$2)*Prijsmutaties!$B$9))</f>
        <v>255.40525939909082</v>
      </c>
      <c r="M19" s="10">
        <f>(('Zip 85&amp;100 (2)'!N19/(1+Korting!$B$3)*(1-Korting!$B$2)*Prijsmutaties!$B$9))</f>
        <v>311.2465526727272</v>
      </c>
      <c r="N19" s="10">
        <f>(('Zip 85&amp;100 (2)'!O19/(1+Korting!$B$3)*(1-Korting!$B$2)*Prijsmutaties!$B$9))</f>
        <v>311.2465526727272</v>
      </c>
      <c r="O19" s="10">
        <f>(('Zip 85&amp;100 (2)'!P19/(1+Korting!$B$3)*(1-Korting!$B$2)*Prijsmutaties!$B$9))</f>
        <v>311.2465526727272</v>
      </c>
      <c r="P19" s="189">
        <f>(('Zip 85&amp;100 (2)'!Q19/(1+Korting!$B$3)*(1-Korting!$B$2)*Prijsmutaties!$B$9))</f>
        <v>311.2465526727272</v>
      </c>
      <c r="Q19" s="10">
        <f>(('Zip 85&amp;100 (2)'!R19/(1+Korting!$B$3)*(1-Korting!$B$2)*Prijsmutaties!$B$9))</f>
        <v>311.2465526727272</v>
      </c>
      <c r="R19" s="10">
        <f>(('Zip 85&amp;100 (2)'!S19/(1+Korting!$B$3)*(1-Korting!$B$2)*Prijsmutaties!$B$9))</f>
        <v>368.00327698363628</v>
      </c>
      <c r="S19" s="18"/>
    </row>
    <row r="20" spans="1:20" ht="16.5" customHeight="1">
      <c r="A20" s="612"/>
      <c r="B20" s="447" t="s">
        <v>6</v>
      </c>
      <c r="C20" s="15">
        <f>(('Zip 85&amp;100 (2)'!D20/(1+Korting!$B$3)*(1-Korting!$B$2)*Prijsmutaties!$B$9))</f>
        <v>99.324267544090887</v>
      </c>
      <c r="D20" s="15">
        <f>(('Zip 85&amp;100 (2)'!E20/(1+Korting!$B$3)*(1-Korting!$B$2)*Prijsmutaties!$B$9))</f>
        <v>99.324267544090887</v>
      </c>
      <c r="E20" s="15">
        <f>(('Zip 85&amp;100 (2)'!F20/(1+Korting!$B$3)*(1-Korting!$B$2)*Prijsmutaties!$B$9))</f>
        <v>99.324267544090887</v>
      </c>
      <c r="F20" s="15">
        <f>(('Zip 85&amp;100 (2)'!G20/(1+Korting!$B$3)*(1-Korting!$B$2)*Prijsmutaties!$B$9))</f>
        <v>99.324267544090887</v>
      </c>
      <c r="G20" s="15">
        <f>(('Zip 85&amp;100 (2)'!H20/(1+Korting!$B$3)*(1-Korting!$B$2)*Prijsmutaties!$B$9))</f>
        <v>99.324267544090887</v>
      </c>
      <c r="H20" s="15">
        <f>(('Zip 85&amp;100 (2)'!I20/(1+Korting!$B$3)*(1-Korting!$B$2)*Prijsmutaties!$B$9))</f>
        <v>127.70262969954541</v>
      </c>
      <c r="I20" s="15">
        <f>(('Zip 85&amp;100 (2)'!J20/(1+Korting!$B$3)*(1-Korting!$B$2)*Prijsmutaties!$B$9))</f>
        <v>127.70262969954541</v>
      </c>
      <c r="J20" s="190">
        <f>(('Zip 85&amp;100 (2)'!K20/(1+Korting!$B$3)*(1-Korting!$B$2)*Prijsmutaties!$B$9))</f>
        <v>127.70262969954541</v>
      </c>
      <c r="K20" s="15">
        <f>(('Zip 85&amp;100 (2)'!L20/(1+Korting!$B$3)*(1-Korting!$B$2)*Prijsmutaties!$B$9))</f>
        <v>127.70262969954541</v>
      </c>
      <c r="L20" s="190">
        <f>(('Zip 85&amp;100 (2)'!M20/(1+Korting!$B$3)*(1-Korting!$B$2)*Prijsmutaties!$B$9))</f>
        <v>127.70262969954541</v>
      </c>
      <c r="M20" s="15">
        <f>(('Zip 85&amp;100 (2)'!N20/(1+Korting!$B$3)*(1-Korting!$B$2)*Prijsmutaties!$B$9))</f>
        <v>155.6232763363636</v>
      </c>
      <c r="N20" s="15">
        <f>(('Zip 85&amp;100 (2)'!O20/(1+Korting!$B$3)*(1-Korting!$B$2)*Prijsmutaties!$B$9))</f>
        <v>155.6232763363636</v>
      </c>
      <c r="O20" s="15">
        <f>(('Zip 85&amp;100 (2)'!P20/(1+Korting!$B$3)*(1-Korting!$B$2)*Prijsmutaties!$B$9))</f>
        <v>155.6232763363636</v>
      </c>
      <c r="P20" s="190">
        <f>(('Zip 85&amp;100 (2)'!Q20/(1+Korting!$B$3)*(1-Korting!$B$2)*Prijsmutaties!$B$9))</f>
        <v>155.6232763363636</v>
      </c>
      <c r="Q20" s="15">
        <f>(('Zip 85&amp;100 (2)'!R20/(1+Korting!$B$3)*(1-Korting!$B$2)*Prijsmutaties!$B$9))</f>
        <v>155.6232763363636</v>
      </c>
      <c r="R20" s="15">
        <f>(('Zip 85&amp;100 (2)'!S20/(1+Korting!$B$3)*(1-Korting!$B$2)*Prijsmutaties!$B$9))</f>
        <v>184.00163849181814</v>
      </c>
      <c r="S20" s="8"/>
    </row>
    <row r="21" spans="1:20" ht="16.7" customHeight="1" thickBot="1">
      <c r="A21" s="448"/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</row>
    <row r="22" spans="1:20" ht="16.5" customHeight="1" thickBot="1">
      <c r="A22" s="449"/>
      <c r="B22" s="613" t="s">
        <v>20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4"/>
      <c r="M22" s="311"/>
      <c r="N22" s="311"/>
      <c r="O22" s="311"/>
      <c r="P22" s="311"/>
      <c r="Q22" s="311"/>
      <c r="R22" s="311"/>
      <c r="S22" s="311"/>
      <c r="T22" s="311"/>
    </row>
    <row r="23" spans="1:20" ht="17.100000000000001" customHeight="1">
      <c r="A23" s="571" t="s">
        <v>7</v>
      </c>
      <c r="B23" s="571"/>
      <c r="C23" s="571"/>
      <c r="D23" s="571"/>
      <c r="E23" s="571"/>
      <c r="F23" s="571"/>
      <c r="G23" s="571"/>
      <c r="H23" s="571"/>
      <c r="I23" s="571"/>
      <c r="J23" s="571"/>
      <c r="K23" s="571"/>
      <c r="L23" s="571"/>
    </row>
    <row r="24" spans="1:20" ht="18.2" customHeight="1">
      <c r="A24" s="605" t="s">
        <v>374</v>
      </c>
      <c r="B24" s="540"/>
      <c r="C24" s="540"/>
      <c r="D24" s="540"/>
      <c r="E24" s="540"/>
      <c r="F24" s="540"/>
      <c r="G24" s="540"/>
      <c r="H24" s="540"/>
      <c r="I24" s="540"/>
      <c r="J24" s="540"/>
      <c r="K24" s="552">
        <f>(('Zip 85&amp;100 (2)'!L24/(1+Korting!$B$3)*(1-Korting!$B$2)*Prijsmutaties!$G$9))</f>
        <v>111.76745123966941</v>
      </c>
      <c r="L24" s="553">
        <f>(('Zip 85&amp;100 (2)'!M24/(1+Korting!$B$3)*(1-Korting!$B$2)))</f>
        <v>0</v>
      </c>
    </row>
    <row r="25" spans="1:20" ht="18.2" customHeight="1">
      <c r="A25" s="542" t="s">
        <v>301</v>
      </c>
      <c r="B25" s="543"/>
      <c r="C25" s="543"/>
      <c r="D25" s="543"/>
      <c r="E25" s="543"/>
      <c r="F25" s="543"/>
      <c r="G25" s="543"/>
      <c r="H25" s="543"/>
      <c r="I25" s="543"/>
      <c r="J25" s="543"/>
      <c r="K25" s="550">
        <f>(('Zip 85&amp;100 (2)'!L25/(1+Korting!$B$3)*(1-Korting!$B$2)*Prijsmutaties!$G$9))</f>
        <v>-75.713434710743797</v>
      </c>
      <c r="L25" s="551">
        <f>(('Zip 85&amp;100 (2)'!M25/(1+Korting!$B$3)*(1-Korting!$B$2)))</f>
        <v>0</v>
      </c>
    </row>
    <row r="26" spans="1:20" ht="18.2" customHeight="1">
      <c r="A26" s="539" t="s">
        <v>23</v>
      </c>
      <c r="B26" s="540"/>
      <c r="C26" s="540"/>
      <c r="D26" s="540"/>
      <c r="E26" s="540"/>
      <c r="F26" s="540"/>
      <c r="G26" s="540"/>
      <c r="H26" s="540"/>
      <c r="I26" s="540"/>
      <c r="J26" s="540"/>
      <c r="K26" s="552">
        <f>(('Zip 85&amp;100 (2)'!L26/(1+Korting!$B$3)*(1-Korting!$B$2)*Prijsmutaties!$G$9))</f>
        <v>40.560768595041317</v>
      </c>
      <c r="L26" s="553">
        <f>(('Zip 85&amp;100 (2)'!M26/(1+Korting!$B$3)*(1-Korting!$B$2)))</f>
        <v>0</v>
      </c>
    </row>
    <row r="27" spans="1:20" ht="18.2" customHeight="1">
      <c r="A27" s="542" t="s">
        <v>9</v>
      </c>
      <c r="B27" s="543"/>
      <c r="C27" s="543"/>
      <c r="D27" s="543"/>
      <c r="E27" s="543"/>
      <c r="F27" s="543"/>
      <c r="G27" s="543"/>
      <c r="H27" s="543"/>
      <c r="I27" s="543"/>
      <c r="J27" s="543"/>
      <c r="K27" s="550">
        <f>(('Zip 85&amp;100 (2)'!L27/(1+Korting!$B$3)*(1-Korting!$B$2)*Prijsmutaties!$G$9))</f>
        <v>63.094528925619827</v>
      </c>
      <c r="L27" s="551">
        <f>(('Zip 85&amp;100 (2)'!M27/(1+Korting!$B$3)*(1-Korting!$B$2)))</f>
        <v>0</v>
      </c>
    </row>
    <row r="28" spans="1:20" ht="18.2" customHeight="1">
      <c r="A28" s="539" t="s">
        <v>24</v>
      </c>
      <c r="B28" s="540"/>
      <c r="C28" s="540"/>
      <c r="D28" s="540"/>
      <c r="E28" s="540"/>
      <c r="F28" s="540"/>
      <c r="G28" s="540"/>
      <c r="H28" s="540"/>
      <c r="I28" s="540"/>
      <c r="J28" s="540"/>
      <c r="K28" s="552">
        <f>(('Zip 85&amp;100 (2)'!L28/(1+Korting!$B$3)*(1-Korting!$B$2)*Prijsmutaties!$G$9))</f>
        <v>12.618905785123966</v>
      </c>
      <c r="L28" s="553">
        <f>(('Zip 85&amp;100 (2)'!M28/(1+Korting!$B$3)*(1-Korting!$B$2)))</f>
        <v>0</v>
      </c>
    </row>
    <row r="29" spans="1:20" ht="9.9499999999999993" customHeight="1"/>
  </sheetData>
  <sheetProtection algorithmName="SHA-512" hashValue="JZcgDg5CWWdpGuLEKca30Y4e0THIVuEqO9823TyveLxQx9PcLGSbh6JO1ywlziRFpryUJabjLpYCZgOSXjObxA==" saltValue="jGJt3ylrK6Tew81+om5xRg==" spinCount="100000" sheet="1" objects="1" scenarios="1"/>
  <mergeCells count="18">
    <mergeCell ref="A28:J28"/>
    <mergeCell ref="K28:L28"/>
    <mergeCell ref="A25:J25"/>
    <mergeCell ref="K25:L25"/>
    <mergeCell ref="A26:J26"/>
    <mergeCell ref="K26:L26"/>
    <mergeCell ref="A27:J27"/>
    <mergeCell ref="K27:L27"/>
    <mergeCell ref="B21:S21"/>
    <mergeCell ref="A23:L23"/>
    <mergeCell ref="A24:J24"/>
    <mergeCell ref="K24:L24"/>
    <mergeCell ref="B22:L22"/>
    <mergeCell ref="A2:A12"/>
    <mergeCell ref="A13:A20"/>
    <mergeCell ref="B16:S16"/>
    <mergeCell ref="C17:L17"/>
    <mergeCell ref="A1:U1"/>
  </mergeCells>
  <pageMargins left="0.70866141732283472" right="0.70866141732283472" top="0.74803149606299213" bottom="0.74803149606299213" header="0.31496062992125984" footer="0.31496062992125984"/>
  <pageSetup paperSize="9" scale="63" orientation="portrait" r:id="rId1"/>
  <headerFooter>
    <oddFooter>&amp;L&amp;D&amp;C&amp;F
Tabblad &amp;A&amp;RInkoopprijslijst excl. BTW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76AB-BD63-4ABF-A9E8-450D4C8E8975}">
  <sheetPr codeName="Blad9">
    <tabColor rgb="FF92D050"/>
  </sheetPr>
  <dimension ref="A1:AO28"/>
  <sheetViews>
    <sheetView zoomScaleNormal="100" workbookViewId="0">
      <selection activeCell="AH4" sqref="AH4"/>
    </sheetView>
  </sheetViews>
  <sheetFormatPr defaultRowHeight="12.75"/>
  <cols>
    <col min="1" max="1" width="7.33203125" customWidth="1"/>
    <col min="2" max="21" width="6.83203125" customWidth="1"/>
  </cols>
  <sheetData>
    <row r="1" spans="1:41" ht="93.75" customHeight="1">
      <c r="A1" s="624" t="s">
        <v>27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  <c r="L1" s="624"/>
      <c r="M1" s="624"/>
      <c r="N1" s="624"/>
      <c r="O1" s="624"/>
      <c r="P1" s="624"/>
      <c r="Q1" s="158"/>
      <c r="R1" s="158"/>
      <c r="S1" s="158"/>
      <c r="T1" s="158"/>
      <c r="U1" s="158"/>
      <c r="AA1" s="623" t="s">
        <v>376</v>
      </c>
      <c r="AB1" s="624"/>
      <c r="AC1" s="624"/>
      <c r="AD1" s="624"/>
      <c r="AE1" s="624"/>
      <c r="AF1" s="624"/>
      <c r="AG1" s="624"/>
      <c r="AH1" s="624"/>
      <c r="AI1" s="624"/>
      <c r="AJ1" s="624"/>
      <c r="AK1" s="624"/>
      <c r="AL1" s="624"/>
      <c r="AM1" s="624"/>
      <c r="AN1" s="624"/>
      <c r="AO1" s="624"/>
    </row>
    <row r="2" spans="1:41" ht="20.100000000000001" customHeight="1">
      <c r="A2" s="577" t="s">
        <v>25</v>
      </c>
      <c r="B2" s="80" t="s">
        <v>26</v>
      </c>
      <c r="C2" s="39">
        <v>100</v>
      </c>
      <c r="D2" s="5">
        <v>120</v>
      </c>
      <c r="E2" s="5">
        <v>140</v>
      </c>
      <c r="F2" s="40">
        <v>160</v>
      </c>
      <c r="G2" s="40">
        <v>180</v>
      </c>
      <c r="H2" s="40">
        <v>200</v>
      </c>
      <c r="I2" s="40">
        <v>220</v>
      </c>
      <c r="J2" s="40">
        <v>240</v>
      </c>
      <c r="K2" s="5">
        <v>260</v>
      </c>
      <c r="L2" s="159">
        <v>280</v>
      </c>
      <c r="M2" s="40">
        <v>300</v>
      </c>
      <c r="N2" s="5">
        <v>320</v>
      </c>
      <c r="O2" s="5">
        <v>340</v>
      </c>
      <c r="P2" s="39">
        <v>360</v>
      </c>
      <c r="Q2" s="5">
        <v>380</v>
      </c>
      <c r="R2" s="5">
        <v>400</v>
      </c>
      <c r="S2" s="5">
        <v>420</v>
      </c>
      <c r="T2" s="159">
        <v>440</v>
      </c>
      <c r="U2" s="40">
        <v>460</v>
      </c>
      <c r="V2" s="40">
        <v>480</v>
      </c>
      <c r="W2" s="40">
        <v>500</v>
      </c>
      <c r="AA2" s="625" t="s">
        <v>25</v>
      </c>
      <c r="AB2" s="80" t="s">
        <v>26</v>
      </c>
      <c r="AC2" s="5">
        <v>200</v>
      </c>
      <c r="AD2" s="5">
        <v>250</v>
      </c>
      <c r="AE2" s="5">
        <v>300</v>
      </c>
      <c r="AF2" s="5">
        <v>350</v>
      </c>
      <c r="AG2" s="5">
        <v>400</v>
      </c>
      <c r="AH2" s="5">
        <v>450</v>
      </c>
      <c r="AI2" s="5">
        <v>500</v>
      </c>
      <c r="AJ2" s="5">
        <v>550</v>
      </c>
      <c r="AK2" s="5">
        <v>600</v>
      </c>
    </row>
    <row r="3" spans="1:41" ht="18.95" customHeight="1">
      <c r="A3" s="577"/>
      <c r="B3" s="77">
        <v>100</v>
      </c>
      <c r="C3" s="41">
        <v>859.93402450518386</v>
      </c>
      <c r="D3" s="10">
        <v>918.36946277097081</v>
      </c>
      <c r="E3" s="10">
        <v>968.32233741753066</v>
      </c>
      <c r="F3" s="53">
        <v>990.94250706880302</v>
      </c>
      <c r="G3" s="53">
        <v>1042.7803958529689</v>
      </c>
      <c r="H3" s="42">
        <v>1082.3656927426957</v>
      </c>
      <c r="I3" s="42">
        <v>1201.1215834118757</v>
      </c>
      <c r="J3" s="42">
        <v>1234.1093308199813</v>
      </c>
      <c r="K3" s="10">
        <v>1278.407163053723</v>
      </c>
      <c r="L3" s="213">
        <v>1311.3949104618284</v>
      </c>
      <c r="M3" s="42">
        <v>1352.8652214891613</v>
      </c>
      <c r="N3" s="10">
        <v>1390.5655042412818</v>
      </c>
      <c r="O3" s="10">
        <v>1432.0358152686147</v>
      </c>
      <c r="P3" s="41">
        <v>1473.5061262959473</v>
      </c>
      <c r="Q3" s="10">
        <v>1521.5739868049011</v>
      </c>
      <c r="R3" s="10">
        <v>1548.9066918001886</v>
      </c>
      <c r="S3" s="10">
        <v>1575.296889726673</v>
      </c>
      <c r="T3" s="213">
        <v>1602.6295947219605</v>
      </c>
      <c r="U3" s="42">
        <v>1648.8124410933083</v>
      </c>
      <c r="V3" s="42">
        <v>1694.052780395853</v>
      </c>
      <c r="W3" s="42">
        <v>1740.2356267672008</v>
      </c>
      <c r="AA3" s="625"/>
      <c r="AB3" s="13">
        <v>200</v>
      </c>
      <c r="AC3" s="10">
        <v>1347.5323590814196</v>
      </c>
      <c r="AD3" s="10">
        <v>1504.3089770354907</v>
      </c>
      <c r="AE3" s="10">
        <v>1588.2964509394571</v>
      </c>
      <c r="AF3" s="10">
        <v>1760.9373695198331</v>
      </c>
      <c r="AG3" s="10">
        <v>1844.9248434237995</v>
      </c>
      <c r="AH3" s="10">
        <v>1955</v>
      </c>
      <c r="AI3" s="10">
        <v>2076.3569937369521</v>
      </c>
      <c r="AJ3" s="10">
        <v>2318.0542797494782</v>
      </c>
      <c r="AK3" s="10">
        <v>2318.0542797494782</v>
      </c>
    </row>
    <row r="4" spans="1:41" ht="18.95" customHeight="1">
      <c r="A4" s="577"/>
      <c r="B4" s="40">
        <v>120</v>
      </c>
      <c r="C4" s="44">
        <v>878.78416588124412</v>
      </c>
      <c r="D4" s="15">
        <v>937.21960414703119</v>
      </c>
      <c r="E4" s="15">
        <v>987.17247879359104</v>
      </c>
      <c r="F4" s="52">
        <v>1009.7926484448634</v>
      </c>
      <c r="G4" s="52">
        <v>1061.6305372290292</v>
      </c>
      <c r="H4" s="45">
        <v>1101.215834118756</v>
      </c>
      <c r="I4" s="45">
        <v>1219.971724787936</v>
      </c>
      <c r="J4" s="45">
        <v>1252.9594721960416</v>
      </c>
      <c r="K4" s="15">
        <v>1297.2573044297833</v>
      </c>
      <c r="L4" s="160">
        <v>1328.3600377002829</v>
      </c>
      <c r="M4" s="45">
        <v>1371.7153628652216</v>
      </c>
      <c r="N4" s="15">
        <v>1407.5306314797363</v>
      </c>
      <c r="O4" s="15">
        <v>1450.8859566446749</v>
      </c>
      <c r="P4" s="44">
        <v>1492.3562676720076</v>
      </c>
      <c r="Q4" s="15">
        <v>1540.4241281809614</v>
      </c>
      <c r="R4" s="15">
        <v>1567.7568331762488</v>
      </c>
      <c r="S4" s="15">
        <v>1594.1470311027333</v>
      </c>
      <c r="T4" s="160">
        <v>1619.5947219604147</v>
      </c>
      <c r="U4" s="45">
        <v>1690.2827521206409</v>
      </c>
      <c r="V4" s="45">
        <v>1760.9707822808673</v>
      </c>
      <c r="W4" s="45">
        <v>1831.6588124410935</v>
      </c>
      <c r="AA4" s="625"/>
      <c r="AB4" s="5">
        <v>250</v>
      </c>
      <c r="AC4" s="15">
        <v>1435.2526096033403</v>
      </c>
      <c r="AD4" s="15">
        <v>1598.5615866388307</v>
      </c>
      <c r="AE4" s="15">
        <v>1718.010438413361</v>
      </c>
      <c r="AF4" s="15">
        <v>1868.2546972860125</v>
      </c>
      <c r="AG4" s="15">
        <v>1956.9081419624217</v>
      </c>
      <c r="AH4" s="15">
        <v>2077.2901878914404</v>
      </c>
      <c r="AI4" s="15">
        <v>2198.6054279749478</v>
      </c>
      <c r="AJ4" s="15">
        <v>2440.3027139874739</v>
      </c>
      <c r="AK4" s="15">
        <v>2440.3027139874739</v>
      </c>
    </row>
    <row r="5" spans="1:41" ht="20.100000000000001" customHeight="1">
      <c r="A5" s="577"/>
      <c r="B5" s="77">
        <v>140</v>
      </c>
      <c r="C5" s="41">
        <v>897.6343072573045</v>
      </c>
      <c r="D5" s="10">
        <v>956.06974552309146</v>
      </c>
      <c r="E5" s="10">
        <v>1006.0226201696513</v>
      </c>
      <c r="F5" s="53">
        <v>1028.6427898209238</v>
      </c>
      <c r="G5" s="53">
        <v>1080.4806786050897</v>
      </c>
      <c r="H5" s="42">
        <v>1120.0659754948163</v>
      </c>
      <c r="I5" s="42">
        <v>1238.8218661639962</v>
      </c>
      <c r="J5" s="42">
        <v>1271.8096135721019</v>
      </c>
      <c r="K5" s="10">
        <v>1316.1074458058436</v>
      </c>
      <c r="L5" s="213">
        <v>1347.2101790763431</v>
      </c>
      <c r="M5" s="42">
        <v>1390.5655042412818</v>
      </c>
      <c r="N5" s="10">
        <v>1426.3807728557965</v>
      </c>
      <c r="O5" s="10">
        <v>1469.7360980207352</v>
      </c>
      <c r="P5" s="41">
        <v>1509.321394910462</v>
      </c>
      <c r="Q5" s="10">
        <v>1557.3892554194158</v>
      </c>
      <c r="R5" s="10">
        <v>1583.7794533459003</v>
      </c>
      <c r="S5" s="10">
        <v>1611.1121583411878</v>
      </c>
      <c r="T5" s="213">
        <v>1661.0650329877476</v>
      </c>
      <c r="U5" s="42">
        <v>1707.2478793590954</v>
      </c>
      <c r="V5" s="42">
        <v>1783.5909519321397</v>
      </c>
      <c r="W5" s="42">
        <v>1860.876531573987</v>
      </c>
      <c r="AA5" s="625"/>
      <c r="AB5" s="13">
        <v>270</v>
      </c>
      <c r="AC5" s="10">
        <v>1610.6931106471818</v>
      </c>
      <c r="AD5" s="10">
        <v>1695.6137787056368</v>
      </c>
      <c r="AE5" s="10">
        <v>1841.1920668058456</v>
      </c>
      <c r="AF5" s="10">
        <v>1982.1043841336116</v>
      </c>
      <c r="AG5" s="10">
        <v>2053.0271398747391</v>
      </c>
      <c r="AH5" s="10">
        <v>2171.5427974947806</v>
      </c>
      <c r="AI5" s="10">
        <v>2292.8580375782881</v>
      </c>
      <c r="AJ5" s="10">
        <v>2534.5553235908142</v>
      </c>
      <c r="AK5" s="10">
        <v>2534.5553235908142</v>
      </c>
    </row>
    <row r="6" spans="1:41" ht="18.95" customHeight="1">
      <c r="A6" s="577"/>
      <c r="B6" s="40">
        <v>160</v>
      </c>
      <c r="C6" s="44">
        <v>924.96701225259199</v>
      </c>
      <c r="D6" s="15">
        <v>989.05749293119709</v>
      </c>
      <c r="E6" s="15">
        <v>1037.1253534401508</v>
      </c>
      <c r="F6" s="52">
        <v>1061.6305372290292</v>
      </c>
      <c r="G6" s="52">
        <v>1111.583411875589</v>
      </c>
      <c r="H6" s="45">
        <v>1157.766258246937</v>
      </c>
      <c r="I6" s="45">
        <v>1269.9245994344958</v>
      </c>
      <c r="J6" s="45">
        <v>1309.5098963242226</v>
      </c>
      <c r="K6" s="15">
        <v>1352.8652214891613</v>
      </c>
      <c r="L6" s="160">
        <v>1390.5655042412818</v>
      </c>
      <c r="M6" s="45">
        <v>1432.0358152686147</v>
      </c>
      <c r="N6" s="15">
        <v>1463.138548539114</v>
      </c>
      <c r="O6" s="15">
        <v>1511.2064090480681</v>
      </c>
      <c r="P6" s="44">
        <v>1557.3892554194158</v>
      </c>
      <c r="Q6" s="15">
        <v>1598.8595664467484</v>
      </c>
      <c r="R6" s="15">
        <v>1657.2950047125355</v>
      </c>
      <c r="S6" s="15">
        <v>1681.8001885014139</v>
      </c>
      <c r="T6" s="160">
        <v>1712.9029217719133</v>
      </c>
      <c r="U6" s="45">
        <v>1752.4882186616401</v>
      </c>
      <c r="V6" s="45">
        <v>1823.1762488218662</v>
      </c>
      <c r="W6" s="45">
        <v>1893.8642789820924</v>
      </c>
      <c r="AA6" s="625"/>
      <c r="AB6" s="533"/>
      <c r="AC6" s="533"/>
      <c r="AD6" s="533"/>
      <c r="AE6" s="533"/>
      <c r="AF6" s="533"/>
      <c r="AG6" s="533"/>
      <c r="AH6" s="158"/>
      <c r="AI6" s="158"/>
      <c r="AJ6" s="158"/>
      <c r="AK6" s="158"/>
    </row>
    <row r="7" spans="1:41" ht="18.95" customHeight="1">
      <c r="A7" s="577"/>
      <c r="B7" s="153">
        <v>180</v>
      </c>
      <c r="C7" s="154">
        <v>956.06974552309146</v>
      </c>
      <c r="D7" s="155">
        <v>1020.1602262016966</v>
      </c>
      <c r="E7" s="155">
        <v>1070.1131008482564</v>
      </c>
      <c r="F7" s="155">
        <v>1099.3308199811499</v>
      </c>
      <c r="G7" s="155">
        <v>1155.881244109331</v>
      </c>
      <c r="H7" s="42">
        <v>1195.4665409990575</v>
      </c>
      <c r="I7" s="42">
        <v>1313.2799245994345</v>
      </c>
      <c r="J7" s="42">
        <v>1352.8652214891613</v>
      </c>
      <c r="K7" s="10">
        <v>1402.8180961357211</v>
      </c>
      <c r="L7" s="213">
        <v>1438.6333647502356</v>
      </c>
      <c r="M7" s="42">
        <v>1481.9886899151745</v>
      </c>
      <c r="N7" s="10">
        <v>1517.803958529689</v>
      </c>
      <c r="O7" s="10">
        <v>1564.9293119698398</v>
      </c>
      <c r="P7" s="41">
        <v>1611.1121583411878</v>
      </c>
      <c r="Q7" s="10">
        <v>1683.68520263902</v>
      </c>
      <c r="R7" s="10">
        <v>1714.7879359095193</v>
      </c>
      <c r="S7" s="10">
        <v>1745.8906691800189</v>
      </c>
      <c r="T7" s="213">
        <v>1777.9359095193215</v>
      </c>
      <c r="U7" s="42">
        <v>1823.1762488218662</v>
      </c>
      <c r="V7" s="42">
        <v>1869.359095193214</v>
      </c>
      <c r="W7" s="42">
        <v>1914.5994344957587</v>
      </c>
      <c r="AA7" s="625"/>
      <c r="AB7" s="104"/>
      <c r="AC7" s="534" t="s">
        <v>3</v>
      </c>
      <c r="AD7" s="535"/>
      <c r="AE7" s="535"/>
      <c r="AF7" s="535"/>
      <c r="AG7" s="536"/>
      <c r="AH7" s="104"/>
      <c r="AI7" s="104"/>
      <c r="AJ7" s="104"/>
      <c r="AK7" s="104"/>
    </row>
    <row r="8" spans="1:41" ht="20.100000000000001" customHeight="1">
      <c r="A8" s="577"/>
      <c r="B8" s="40">
        <v>200</v>
      </c>
      <c r="C8" s="82">
        <v>1001.3100848256363</v>
      </c>
      <c r="D8" s="15">
        <v>1066.3430725730443</v>
      </c>
      <c r="E8" s="15">
        <v>1120.0659754948163</v>
      </c>
      <c r="F8" s="52">
        <v>1149.2836946277098</v>
      </c>
      <c r="G8" s="52">
        <v>1205.8341187558908</v>
      </c>
      <c r="H8" s="45">
        <v>1319.8774740810557</v>
      </c>
      <c r="I8" s="45">
        <v>1382.0829406220548</v>
      </c>
      <c r="J8" s="45">
        <v>1421.6682375117814</v>
      </c>
      <c r="K8" s="15">
        <v>1475.3911404335533</v>
      </c>
      <c r="L8" s="160">
        <v>1513.0914231856739</v>
      </c>
      <c r="M8" s="45">
        <v>1561.1592836946279</v>
      </c>
      <c r="N8" s="15">
        <v>1602.6295947219605</v>
      </c>
      <c r="O8" s="15">
        <v>1657.2950047125355</v>
      </c>
      <c r="P8" s="44">
        <v>1731.7530631479738</v>
      </c>
      <c r="Q8" s="15">
        <v>1779.8209236569276</v>
      </c>
      <c r="R8" s="15">
        <v>1816.5786993402451</v>
      </c>
      <c r="S8" s="15">
        <v>1845.7964184731386</v>
      </c>
      <c r="T8" s="160">
        <v>1881.6116870876533</v>
      </c>
      <c r="U8" s="45">
        <v>1926.852026390198</v>
      </c>
      <c r="V8" s="45">
        <v>1973.0348727615458</v>
      </c>
      <c r="W8" s="45">
        <v>2019.2177191328935</v>
      </c>
      <c r="AA8" s="625"/>
      <c r="AB8" s="105" t="s">
        <v>4</v>
      </c>
      <c r="AC8" s="105">
        <v>200</v>
      </c>
      <c r="AD8" s="105">
        <v>250</v>
      </c>
      <c r="AE8" s="105">
        <v>300</v>
      </c>
      <c r="AF8" s="105">
        <v>350</v>
      </c>
      <c r="AG8" s="105">
        <v>400</v>
      </c>
      <c r="AH8" s="105">
        <v>450</v>
      </c>
      <c r="AI8" s="105">
        <v>500</v>
      </c>
      <c r="AJ8" s="105">
        <v>550</v>
      </c>
      <c r="AK8" s="105">
        <v>600</v>
      </c>
    </row>
    <row r="9" spans="1:41" ht="18.95" customHeight="1">
      <c r="A9" s="577"/>
      <c r="B9" s="77">
        <v>220</v>
      </c>
      <c r="C9" s="81">
        <v>1020.1602262016966</v>
      </c>
      <c r="D9" s="10">
        <v>1085.1932139491046</v>
      </c>
      <c r="E9" s="10">
        <v>1138.9161168708765</v>
      </c>
      <c r="F9" s="53">
        <v>1168.1338360037701</v>
      </c>
      <c r="G9" s="53">
        <v>1223.7417530631481</v>
      </c>
      <c r="H9" s="42">
        <v>1338.7276154571159</v>
      </c>
      <c r="I9" s="42">
        <v>1400.9330819981151</v>
      </c>
      <c r="J9" s="42">
        <v>1438.6333647502356</v>
      </c>
      <c r="K9" s="10">
        <v>1488.5862393967955</v>
      </c>
      <c r="L9" s="213">
        <v>1530.0565504241283</v>
      </c>
      <c r="M9" s="42">
        <v>1580.0094250706882</v>
      </c>
      <c r="N9" s="10">
        <v>1619.5947219604147</v>
      </c>
      <c r="O9" s="10">
        <v>1698.7653157398681</v>
      </c>
      <c r="P9" s="41">
        <v>1750.603204524034</v>
      </c>
      <c r="Q9" s="10">
        <v>1798.6710650329878</v>
      </c>
      <c r="R9" s="10">
        <v>1833.5438265786995</v>
      </c>
      <c r="S9" s="10">
        <v>1864.6465598491989</v>
      </c>
      <c r="T9" s="213">
        <v>1898.5768143261075</v>
      </c>
      <c r="U9" s="42">
        <v>1945.7021677662583</v>
      </c>
      <c r="V9" s="42">
        <v>1993.7700282752121</v>
      </c>
      <c r="W9" s="42">
        <v>2041.8378887841659</v>
      </c>
      <c r="AA9" s="625"/>
      <c r="AB9" s="165" t="s">
        <v>5</v>
      </c>
      <c r="AC9" s="45">
        <v>263.5</v>
      </c>
      <c r="AD9" s="45">
        <v>263.5</v>
      </c>
      <c r="AE9" s="45">
        <v>322</v>
      </c>
      <c r="AF9" s="45">
        <v>322</v>
      </c>
      <c r="AG9" s="15">
        <v>380</v>
      </c>
      <c r="AH9" s="15">
        <v>430</v>
      </c>
      <c r="AI9" s="45">
        <v>487.27615457115928</v>
      </c>
      <c r="AJ9" s="15">
        <v>594.82100000000003</v>
      </c>
      <c r="AK9" s="15">
        <v>594.82100000000003</v>
      </c>
    </row>
    <row r="10" spans="1:41" ht="18.95" customHeight="1">
      <c r="A10" s="577"/>
      <c r="B10" s="40">
        <v>240</v>
      </c>
      <c r="C10" s="82">
        <v>1053.1479736098022</v>
      </c>
      <c r="D10" s="15">
        <v>1123.8360037700284</v>
      </c>
      <c r="E10" s="15">
        <v>1178.5014137606033</v>
      </c>
      <c r="F10" s="52">
        <v>1211.4891611687087</v>
      </c>
      <c r="G10" s="52">
        <v>1276.522148916117</v>
      </c>
      <c r="H10" s="45">
        <v>1388.6804901036758</v>
      </c>
      <c r="I10" s="45">
        <v>1450.8859566446749</v>
      </c>
      <c r="J10" s="45">
        <v>1494.2412818096136</v>
      </c>
      <c r="K10" s="15">
        <v>1550.7917059377946</v>
      </c>
      <c r="L10" s="160">
        <v>1592.2620169651273</v>
      </c>
      <c r="M10" s="45">
        <v>1645.9849198868992</v>
      </c>
      <c r="N10" s="15">
        <v>1711.0179076343074</v>
      </c>
      <c r="O10" s="15">
        <v>1764.7408105560792</v>
      </c>
      <c r="P10" s="44">
        <v>1821.2912346842602</v>
      </c>
      <c r="Q10" s="15">
        <v>1875.0141376060321</v>
      </c>
      <c r="R10" s="15">
        <v>1910.8294062205468</v>
      </c>
      <c r="S10" s="15">
        <v>1945.7021677662583</v>
      </c>
      <c r="T10" s="160">
        <v>1979.632422243167</v>
      </c>
      <c r="U10" s="45">
        <v>2033.3553251649389</v>
      </c>
      <c r="V10" s="45">
        <v>2087.0782280867106</v>
      </c>
      <c r="W10" s="45">
        <v>2141.7436380772856</v>
      </c>
      <c r="AA10" s="625"/>
      <c r="AB10" s="106" t="s">
        <v>6</v>
      </c>
      <c r="AC10" s="42">
        <f>AC9/2</f>
        <v>131.75</v>
      </c>
      <c r="AD10" s="42">
        <f t="shared" ref="AD10:AK10" si="0">AD9/2</f>
        <v>131.75</v>
      </c>
      <c r="AE10" s="42">
        <f t="shared" si="0"/>
        <v>161</v>
      </c>
      <c r="AF10" s="42">
        <f t="shared" si="0"/>
        <v>161</v>
      </c>
      <c r="AG10" s="42">
        <f t="shared" si="0"/>
        <v>190</v>
      </c>
      <c r="AH10" s="42">
        <f t="shared" si="0"/>
        <v>215</v>
      </c>
      <c r="AI10" s="42">
        <f t="shared" si="0"/>
        <v>243.63807728557964</v>
      </c>
      <c r="AJ10" s="42">
        <f t="shared" si="0"/>
        <v>297.41050000000001</v>
      </c>
      <c r="AK10" s="42">
        <f t="shared" si="0"/>
        <v>297.41050000000001</v>
      </c>
    </row>
    <row r="11" spans="1:41" ht="20.100000000000001" customHeight="1">
      <c r="A11" s="577"/>
      <c r="B11" s="77">
        <v>260</v>
      </c>
      <c r="C11" s="81">
        <v>1071.9981149858625</v>
      </c>
      <c r="D11" s="10">
        <v>1142.6861451460886</v>
      </c>
      <c r="E11" s="10">
        <v>1197.3515551366636</v>
      </c>
      <c r="F11" s="53">
        <v>1230.3393025447692</v>
      </c>
      <c r="G11" s="53">
        <v>1294.4297832233742</v>
      </c>
      <c r="H11" s="42">
        <v>1407.5306314797363</v>
      </c>
      <c r="I11" s="42">
        <v>1469.7360980207352</v>
      </c>
      <c r="J11" s="42">
        <v>1513.0914231856739</v>
      </c>
      <c r="K11" s="10">
        <v>1569.6418473138549</v>
      </c>
      <c r="L11" s="213">
        <v>1611.1121583411878</v>
      </c>
      <c r="M11" s="42">
        <v>1690.2827521206409</v>
      </c>
      <c r="N11" s="10">
        <v>1729.8680490103677</v>
      </c>
      <c r="O11" s="10">
        <v>1783.5909519321397</v>
      </c>
      <c r="P11" s="41">
        <v>1840.1413760603205</v>
      </c>
      <c r="Q11" s="10">
        <v>1893.8642789820924</v>
      </c>
      <c r="R11" s="10">
        <v>1929.6795475966071</v>
      </c>
      <c r="S11" s="10">
        <v>1964.5523091423186</v>
      </c>
      <c r="T11" s="213">
        <v>1998.4825636192272</v>
      </c>
      <c r="U11" s="42">
        <v>2050.3204524033931</v>
      </c>
      <c r="V11" s="42">
        <v>2102.158341187559</v>
      </c>
      <c r="W11" s="42">
        <v>2153.9962299717249</v>
      </c>
    </row>
    <row r="12" spans="1:41" ht="18.95" customHeight="1">
      <c r="A12" s="577"/>
      <c r="B12" s="161">
        <v>270</v>
      </c>
      <c r="C12" s="162">
        <v>1137.0311027332705</v>
      </c>
      <c r="D12" s="20">
        <v>1271.8096135721019</v>
      </c>
      <c r="E12" s="20">
        <v>1317.9924599434496</v>
      </c>
      <c r="F12" s="163">
        <v>1332.130065975495</v>
      </c>
      <c r="G12" s="163">
        <v>1413.1856738925542</v>
      </c>
      <c r="H12" s="48">
        <v>1498.9538171536287</v>
      </c>
      <c r="I12" s="48">
        <v>1575.296889726673</v>
      </c>
      <c r="J12" s="48">
        <v>1612.9971724787936</v>
      </c>
      <c r="K12" s="20">
        <v>1667.6625824693685</v>
      </c>
      <c r="L12" s="164">
        <v>1709.1328934967014</v>
      </c>
      <c r="M12" s="48">
        <v>1812.8086710650332</v>
      </c>
      <c r="N12" s="20">
        <v>1825.0612629594723</v>
      </c>
      <c r="O12" s="20">
        <v>1881.6116870876533</v>
      </c>
      <c r="P12" s="47">
        <v>1954.1847313854855</v>
      </c>
      <c r="Q12" s="20">
        <v>1990</v>
      </c>
      <c r="R12" s="20">
        <v>2024.8727615457117</v>
      </c>
      <c r="S12" s="20">
        <v>2058.8030160226203</v>
      </c>
      <c r="T12" s="164">
        <v>2091.7907634307257</v>
      </c>
      <c r="U12" s="48">
        <v>2143.6286522148916</v>
      </c>
      <c r="V12" s="48">
        <v>2195.4665409990575</v>
      </c>
      <c r="W12" s="48">
        <v>2247.3044297832234</v>
      </c>
    </row>
    <row r="13" spans="1:41" ht="19.5" customHeight="1">
      <c r="A13" s="577"/>
      <c r="B13" s="533"/>
      <c r="C13" s="533"/>
      <c r="D13" s="533"/>
      <c r="E13" s="533"/>
      <c r="F13" s="533"/>
      <c r="G13" s="533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</row>
    <row r="14" spans="1:41" ht="19.5" customHeight="1">
      <c r="A14" s="577"/>
      <c r="B14" s="104"/>
      <c r="C14" s="534" t="s">
        <v>3</v>
      </c>
      <c r="D14" s="535"/>
      <c r="E14" s="535"/>
      <c r="F14" s="535"/>
      <c r="G14" s="536"/>
      <c r="H14" s="104"/>
      <c r="I14" s="104"/>
      <c r="J14" s="104"/>
      <c r="K14" s="104"/>
      <c r="L14" s="156"/>
      <c r="M14" s="104"/>
      <c r="N14" s="104"/>
      <c r="O14" s="104"/>
      <c r="P14" s="104"/>
      <c r="Q14" s="104"/>
      <c r="R14" s="104"/>
      <c r="S14" s="104"/>
      <c r="T14" s="156"/>
      <c r="U14" s="104"/>
      <c r="V14" s="104"/>
      <c r="W14" s="104"/>
    </row>
    <row r="15" spans="1:41" ht="18.95" customHeight="1">
      <c r="A15" s="577"/>
      <c r="B15" s="105" t="s">
        <v>4</v>
      </c>
      <c r="C15" s="76">
        <v>100</v>
      </c>
      <c r="D15" s="13">
        <v>120</v>
      </c>
      <c r="E15" s="13">
        <v>140</v>
      </c>
      <c r="F15" s="77">
        <v>160</v>
      </c>
      <c r="G15" s="77">
        <v>180</v>
      </c>
      <c r="H15" s="77">
        <v>200</v>
      </c>
      <c r="I15" s="77">
        <v>220</v>
      </c>
      <c r="J15" s="77">
        <v>240</v>
      </c>
      <c r="K15" s="13">
        <v>260</v>
      </c>
      <c r="L15" s="219">
        <v>280</v>
      </c>
      <c r="M15" s="77">
        <v>300</v>
      </c>
      <c r="N15" s="13">
        <v>320</v>
      </c>
      <c r="O15" s="13">
        <v>340</v>
      </c>
      <c r="P15" s="76">
        <v>360</v>
      </c>
      <c r="Q15" s="13">
        <v>380</v>
      </c>
      <c r="R15" s="13">
        <v>400</v>
      </c>
      <c r="S15" s="13">
        <v>420</v>
      </c>
      <c r="T15" s="219">
        <v>440</v>
      </c>
      <c r="U15" s="77">
        <v>460</v>
      </c>
      <c r="V15" s="77">
        <v>480</v>
      </c>
      <c r="W15" s="77">
        <v>500</v>
      </c>
    </row>
    <row r="16" spans="1:41" ht="18.95" customHeight="1">
      <c r="A16" s="577"/>
      <c r="B16" s="165" t="s">
        <v>5</v>
      </c>
      <c r="C16" s="44">
        <v>204.52403393025449</v>
      </c>
      <c r="D16" s="15">
        <v>204.52403393025449</v>
      </c>
      <c r="E16" s="15">
        <v>204.52403393025449</v>
      </c>
      <c r="F16" s="45">
        <v>204.52403393025449</v>
      </c>
      <c r="G16" s="45">
        <v>204.52403393025449</v>
      </c>
      <c r="H16" s="45">
        <v>262.95947219604147</v>
      </c>
      <c r="I16" s="45">
        <v>262.95947219604147</v>
      </c>
      <c r="J16" s="45">
        <v>262.95947219604147</v>
      </c>
      <c r="K16" s="15">
        <v>262.95947219604147</v>
      </c>
      <c r="L16" s="160">
        <v>262.95947219604147</v>
      </c>
      <c r="M16" s="45">
        <v>320.45240339302546</v>
      </c>
      <c r="N16" s="15">
        <v>320.45240339302546</v>
      </c>
      <c r="O16" s="15">
        <v>320.45240339302546</v>
      </c>
      <c r="P16" s="44">
        <v>320.45240339302546</v>
      </c>
      <c r="Q16" s="15">
        <v>320.45240339302546</v>
      </c>
      <c r="R16" s="15">
        <v>378.88784165881248</v>
      </c>
      <c r="S16" s="15">
        <v>378.88784165881248</v>
      </c>
      <c r="T16" s="160">
        <v>378.88784165881248</v>
      </c>
      <c r="U16" s="45">
        <v>428.84071630537233</v>
      </c>
      <c r="V16" s="45">
        <v>428.84071630537233</v>
      </c>
      <c r="W16" s="45">
        <v>487.27615457115928</v>
      </c>
      <c r="AC16" s="460"/>
    </row>
    <row r="17" spans="1:23" ht="19.7" customHeight="1">
      <c r="A17" s="577"/>
      <c r="B17" s="106" t="s">
        <v>6</v>
      </c>
      <c r="C17" s="41">
        <v>102.26201696512724</v>
      </c>
      <c r="D17" s="10">
        <v>102.26201696512724</v>
      </c>
      <c r="E17" s="10">
        <v>102.26201696512724</v>
      </c>
      <c r="F17" s="42">
        <v>102.26201696512724</v>
      </c>
      <c r="G17" s="42">
        <v>102.26201696512724</v>
      </c>
      <c r="H17" s="42">
        <v>131.47973609802074</v>
      </c>
      <c r="I17" s="42">
        <v>131.47973609802074</v>
      </c>
      <c r="J17" s="42">
        <v>131.47973609802074</v>
      </c>
      <c r="K17" s="10">
        <v>131.47973609802074</v>
      </c>
      <c r="L17" s="213">
        <v>131.47973609802074</v>
      </c>
      <c r="M17" s="42">
        <v>160.22620169651273</v>
      </c>
      <c r="N17" s="10">
        <v>160.22620169651273</v>
      </c>
      <c r="O17" s="10">
        <v>160.22620169651273</v>
      </c>
      <c r="P17" s="41">
        <v>160.22620169651273</v>
      </c>
      <c r="Q17" s="10">
        <v>160.22620169651273</v>
      </c>
      <c r="R17" s="10">
        <v>189.44392082940624</v>
      </c>
      <c r="S17" s="10">
        <v>189.44392082940624</v>
      </c>
      <c r="T17" s="213">
        <v>189.44392082940624</v>
      </c>
      <c r="U17" s="42">
        <v>214.42035815268616</v>
      </c>
      <c r="V17" s="42">
        <v>214.42035815268616</v>
      </c>
      <c r="W17" s="42">
        <v>243.63807728557964</v>
      </c>
    </row>
    <row r="18" spans="1:23" ht="20.8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23" ht="16.5" customHeight="1">
      <c r="A19" s="571" t="s">
        <v>7</v>
      </c>
      <c r="B19" s="571"/>
      <c r="C19" s="571"/>
      <c r="D19" s="571"/>
      <c r="E19" s="571"/>
      <c r="F19" s="571"/>
      <c r="G19" s="571"/>
      <c r="H19" s="571"/>
      <c r="I19" s="571"/>
      <c r="J19" s="571"/>
      <c r="K19" s="571"/>
      <c r="L19" s="166"/>
      <c r="M19" s="166"/>
      <c r="N19" s="166"/>
      <c r="O19" s="166"/>
      <c r="P19" s="166"/>
      <c r="Q19" s="166"/>
      <c r="R19" s="2"/>
    </row>
    <row r="20" spans="1:23" ht="16.5" customHeight="1">
      <c r="A20" s="574" t="s">
        <v>423</v>
      </c>
      <c r="B20" s="543"/>
      <c r="C20" s="543"/>
      <c r="D20" s="543"/>
      <c r="E20" s="543"/>
      <c r="F20" s="543"/>
      <c r="G20" s="543"/>
      <c r="H20" s="543"/>
      <c r="I20" s="544"/>
      <c r="J20" s="615">
        <v>159</v>
      </c>
      <c r="K20" s="616"/>
      <c r="L20" s="166"/>
      <c r="M20" s="166"/>
      <c r="N20" s="166"/>
      <c r="O20" s="166"/>
      <c r="P20" s="166"/>
      <c r="Q20" s="166"/>
      <c r="R20" s="2"/>
    </row>
    <row r="21" spans="1:23" ht="18" customHeight="1">
      <c r="A21" s="539" t="s">
        <v>28</v>
      </c>
      <c r="B21" s="540"/>
      <c r="C21" s="540"/>
      <c r="D21" s="540"/>
      <c r="E21" s="540"/>
      <c r="F21" s="540"/>
      <c r="G21" s="540"/>
      <c r="H21" s="540"/>
      <c r="I21" s="541"/>
      <c r="J21" s="617">
        <v>124</v>
      </c>
      <c r="K21" s="618"/>
      <c r="L21" s="167"/>
      <c r="M21" s="167"/>
      <c r="N21" s="167"/>
      <c r="O21" s="167"/>
      <c r="P21" s="168"/>
      <c r="Q21" s="168"/>
      <c r="R21" s="2"/>
    </row>
    <row r="22" spans="1:23" ht="18.95" customHeight="1">
      <c r="A22" s="542"/>
      <c r="B22" s="543"/>
      <c r="C22" s="543"/>
      <c r="D22" s="543"/>
      <c r="E22" s="543"/>
      <c r="F22" s="543"/>
      <c r="G22" s="543"/>
      <c r="H22" s="543"/>
      <c r="I22" s="544"/>
      <c r="J22" s="615"/>
      <c r="K22" s="616"/>
      <c r="L22" s="167"/>
      <c r="M22" s="167"/>
      <c r="N22" s="167"/>
      <c r="O22" s="167"/>
      <c r="P22" s="168"/>
      <c r="Q22" s="168"/>
      <c r="R22" s="2"/>
    </row>
    <row r="23" spans="1:23" ht="18" customHeight="1">
      <c r="A23" s="539" t="s">
        <v>9</v>
      </c>
      <c r="B23" s="540"/>
      <c r="C23" s="540"/>
      <c r="D23" s="540"/>
      <c r="E23" s="540"/>
      <c r="F23" s="540"/>
      <c r="G23" s="540"/>
      <c r="H23" s="540"/>
      <c r="I23" s="541"/>
      <c r="J23" s="615">
        <v>70</v>
      </c>
      <c r="K23" s="616"/>
      <c r="L23" s="167"/>
      <c r="M23" s="167"/>
      <c r="N23" s="167"/>
      <c r="O23" s="167"/>
      <c r="P23" s="168"/>
      <c r="Q23" s="168"/>
      <c r="R23" s="2"/>
    </row>
    <row r="24" spans="1:23" ht="18" customHeight="1">
      <c r="A24" s="605" t="s">
        <v>479</v>
      </c>
      <c r="B24" s="619"/>
      <c r="C24" s="619"/>
      <c r="D24" s="619"/>
      <c r="E24" s="619"/>
      <c r="F24" s="619"/>
      <c r="G24" s="619"/>
      <c r="H24" s="619"/>
      <c r="I24" s="620"/>
      <c r="J24" s="617">
        <v>19</v>
      </c>
      <c r="K24" s="618"/>
      <c r="L24" s="167"/>
      <c r="M24" s="167"/>
      <c r="N24" s="167"/>
      <c r="O24" s="167"/>
      <c r="P24" s="168"/>
      <c r="Q24" s="168"/>
      <c r="R24" s="2"/>
      <c r="T24">
        <v>-1.5</v>
      </c>
      <c r="V24">
        <v>1.5</v>
      </c>
    </row>
    <row r="25" spans="1:23" ht="18" customHeight="1">
      <c r="A25" s="542" t="s">
        <v>31</v>
      </c>
      <c r="B25" s="543"/>
      <c r="C25" s="543"/>
      <c r="D25" s="543"/>
      <c r="E25" s="543"/>
      <c r="F25" s="543"/>
      <c r="G25" s="543"/>
      <c r="H25" s="543"/>
      <c r="I25" s="544"/>
      <c r="J25" s="621">
        <v>-82</v>
      </c>
      <c r="K25" s="622"/>
      <c r="L25" s="167"/>
      <c r="M25" s="167"/>
      <c r="N25" s="167"/>
      <c r="O25" s="167"/>
      <c r="P25" s="169"/>
      <c r="Q25" s="169"/>
      <c r="R25" s="2"/>
    </row>
    <row r="26" spans="1:23" ht="18.95" customHeight="1">
      <c r="A26" s="539" t="s">
        <v>32</v>
      </c>
      <c r="B26" s="540"/>
      <c r="C26" s="540"/>
      <c r="D26" s="540"/>
      <c r="E26" s="540"/>
      <c r="F26" s="540"/>
      <c r="G26" s="540"/>
      <c r="H26" s="540"/>
      <c r="I26" s="541"/>
      <c r="J26" s="617">
        <v>16</v>
      </c>
      <c r="K26" s="618"/>
      <c r="L26" s="167"/>
      <c r="M26" s="167"/>
      <c r="N26" s="167"/>
      <c r="O26" s="167"/>
      <c r="P26" s="168"/>
      <c r="Q26" s="168"/>
      <c r="R26" s="2"/>
    </row>
    <row r="27" spans="1:23" ht="18.2" customHeight="1">
      <c r="A27" s="542" t="s">
        <v>24</v>
      </c>
      <c r="B27" s="543"/>
      <c r="C27" s="543"/>
      <c r="D27" s="543"/>
      <c r="E27" s="543"/>
      <c r="F27" s="543"/>
      <c r="G27" s="543"/>
      <c r="H27" s="543"/>
      <c r="I27" s="544"/>
      <c r="J27" s="615">
        <v>14</v>
      </c>
      <c r="K27" s="616"/>
      <c r="L27" s="167"/>
      <c r="M27" s="167"/>
      <c r="N27" s="167"/>
      <c r="O27" s="167"/>
      <c r="P27" s="168"/>
      <c r="Q27" s="168"/>
      <c r="R27" s="2"/>
    </row>
    <row r="28" spans="1:23" ht="16.5" customHeight="1">
      <c r="A28" s="605" t="s">
        <v>303</v>
      </c>
      <c r="B28" s="540"/>
      <c r="C28" s="540"/>
      <c r="D28" s="540"/>
      <c r="E28" s="540"/>
      <c r="F28" s="540"/>
      <c r="G28" s="540"/>
      <c r="H28" s="540"/>
      <c r="I28" s="541"/>
      <c r="J28" s="617">
        <v>6</v>
      </c>
      <c r="K28" s="618"/>
    </row>
  </sheetData>
  <mergeCells count="27">
    <mergeCell ref="AA1:AO1"/>
    <mergeCell ref="AA2:AA10"/>
    <mergeCell ref="AB6:AG6"/>
    <mergeCell ref="AC7:AG7"/>
    <mergeCell ref="A21:I21"/>
    <mergeCell ref="J21:K21"/>
    <mergeCell ref="A1:P1"/>
    <mergeCell ref="A2:A17"/>
    <mergeCell ref="B13:G13"/>
    <mergeCell ref="C14:G14"/>
    <mergeCell ref="A19:K19"/>
    <mergeCell ref="A20:I20"/>
    <mergeCell ref="J20:K20"/>
    <mergeCell ref="A22:I22"/>
    <mergeCell ref="J22:K22"/>
    <mergeCell ref="A23:I23"/>
    <mergeCell ref="J23:K23"/>
    <mergeCell ref="A28:I28"/>
    <mergeCell ref="J28:K28"/>
    <mergeCell ref="A27:I27"/>
    <mergeCell ref="J27:K27"/>
    <mergeCell ref="A24:I24"/>
    <mergeCell ref="J24:K24"/>
    <mergeCell ref="A25:I25"/>
    <mergeCell ref="J25:K25"/>
    <mergeCell ref="A26:I26"/>
    <mergeCell ref="J26:K2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Blad10">
    <tabColor rgb="FF92D050"/>
    <pageSetUpPr fitToPage="1"/>
  </sheetPr>
  <dimension ref="A1:W29"/>
  <sheetViews>
    <sheetView zoomScaleNormal="100" workbookViewId="0">
      <selection sqref="A1:P1"/>
    </sheetView>
  </sheetViews>
  <sheetFormatPr defaultRowHeight="12.75"/>
  <cols>
    <col min="1" max="1" width="7.33203125" customWidth="1"/>
    <col min="2" max="2" width="7.5" customWidth="1"/>
    <col min="3" max="21" width="6.83203125" customWidth="1"/>
  </cols>
  <sheetData>
    <row r="1" spans="1:23" ht="61.5" customHeight="1">
      <c r="A1" s="623" t="s">
        <v>478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  <c r="L1" s="624"/>
      <c r="M1" s="624"/>
      <c r="N1" s="624"/>
      <c r="O1" s="624"/>
      <c r="P1" s="624"/>
      <c r="Q1" s="158"/>
      <c r="R1" s="158"/>
      <c r="S1" s="158"/>
      <c r="T1" s="158"/>
      <c r="U1" s="158"/>
    </row>
    <row r="2" spans="1:23" ht="20.100000000000001" customHeight="1">
      <c r="A2" s="625" t="s">
        <v>25</v>
      </c>
      <c r="B2" s="80" t="s">
        <v>26</v>
      </c>
      <c r="C2" s="5">
        <v>100</v>
      </c>
      <c r="D2" s="5">
        <v>120</v>
      </c>
      <c r="E2" s="5">
        <v>140</v>
      </c>
      <c r="F2" s="5">
        <v>160</v>
      </c>
      <c r="G2" s="5">
        <v>180</v>
      </c>
      <c r="H2" s="5">
        <v>200</v>
      </c>
      <c r="I2" s="5">
        <v>220</v>
      </c>
      <c r="J2" s="5">
        <v>240</v>
      </c>
      <c r="K2" s="5">
        <v>260</v>
      </c>
      <c r="L2" s="188">
        <v>280</v>
      </c>
      <c r="M2" s="5">
        <v>300</v>
      </c>
      <c r="N2" s="5">
        <v>320</v>
      </c>
      <c r="O2" s="5">
        <v>340</v>
      </c>
      <c r="P2" s="5">
        <v>360</v>
      </c>
      <c r="Q2" s="5">
        <v>380</v>
      </c>
      <c r="R2" s="5">
        <v>400</v>
      </c>
      <c r="S2" s="5">
        <v>420</v>
      </c>
      <c r="T2" s="188">
        <v>440</v>
      </c>
      <c r="U2" s="5">
        <v>460</v>
      </c>
      <c r="V2" s="188">
        <v>480</v>
      </c>
      <c r="W2" s="5">
        <v>500</v>
      </c>
    </row>
    <row r="3" spans="1:23" ht="18.95" customHeight="1">
      <c r="A3" s="625"/>
      <c r="B3" s="13">
        <v>100</v>
      </c>
      <c r="C3" s="10">
        <f>(('Zip 110 (2)'!C3/(1+Korting!$B$3)*(1-Korting!$B$2)*Prijsmutaties!$B$9))</f>
        <v>835.23012409726346</v>
      </c>
      <c r="D3" s="10">
        <f>(('Zip 110 (2)'!D3/(1+Korting!$B$3)*(1-Korting!$B$2)*Prijsmutaties!$B$9))</f>
        <v>891.98684840817248</v>
      </c>
      <c r="E3" s="10">
        <f>(('Zip 110 (2)'!E3/(1+Korting!$B$3)*(1-Korting!$B$2)*Prijsmutaties!$B$9))</f>
        <v>940.504693383627</v>
      </c>
      <c r="F3" s="10">
        <f>(('Zip 110 (2)'!F3/(1+Korting!$B$3)*(1-Korting!$B$2)*Prijsmutaties!$B$9))</f>
        <v>962.47503827817252</v>
      </c>
      <c r="G3" s="10">
        <f>(('Zip 110 (2)'!G3/(1+Korting!$B$3)*(1-Korting!$B$2)*Prijsmutaties!$B$9))</f>
        <v>1012.8237453281724</v>
      </c>
      <c r="H3" s="10">
        <f>(('Zip 110 (2)'!H3/(1+Korting!$B$3)*(1-Korting!$B$2)*Prijsmutaties!$B$9))</f>
        <v>1051.2718488936273</v>
      </c>
      <c r="I3" s="10">
        <f>(('Zip 110 (2)'!I3/(1+Korting!$B$3)*(1-Korting!$B$2)*Prijsmutaties!$B$9))</f>
        <v>1166.6161595899907</v>
      </c>
      <c r="J3" s="10">
        <f>(('Zip 110 (2)'!J3/(1+Korting!$B$3)*(1-Korting!$B$2)*Prijsmutaties!$B$9))</f>
        <v>1198.6562458945361</v>
      </c>
      <c r="K3" s="10">
        <f>(('Zip 110 (2)'!K3/(1+Korting!$B$3)*(1-Korting!$B$2)*Prijsmutaties!$B$9))</f>
        <v>1241.6815046463541</v>
      </c>
      <c r="L3" s="10">
        <f>(('Zip 110 (2)'!L3/(1+Korting!$B$3)*(1-Korting!$B$2)*Prijsmutaties!$B$9))</f>
        <v>1273.7215909508996</v>
      </c>
      <c r="M3" s="10">
        <f>(('Zip 110 (2)'!M3/(1+Korting!$B$3)*(1-Korting!$B$2)*Prijsmutaties!$B$9))</f>
        <v>1314.0005565908998</v>
      </c>
      <c r="N3" s="10">
        <f>(('Zip 110 (2)'!N3/(1+Korting!$B$3)*(1-Korting!$B$2)*Prijsmutaties!$B$9))</f>
        <v>1350.6177980818088</v>
      </c>
      <c r="O3" s="10">
        <f>(('Zip 110 (2)'!O3/(1+Korting!$B$3)*(1-Korting!$B$2)*Prijsmutaties!$B$9))</f>
        <v>1390.8967637218088</v>
      </c>
      <c r="P3" s="10">
        <f>(('Zip 110 (2)'!P3/(1+Korting!$B$3)*(1-Korting!$B$2)*Prijsmutaties!$B$9))</f>
        <v>1431.1757293618086</v>
      </c>
      <c r="Q3" s="10">
        <f>(('Zip 110 (2)'!Q3/(1+Korting!$B$3)*(1-Korting!$B$2)*Prijsmutaties!$B$9))</f>
        <v>1477.8627122627177</v>
      </c>
      <c r="R3" s="10">
        <f>(('Zip 110 (2)'!R3/(1+Korting!$B$3)*(1-Korting!$B$2)*Prijsmutaties!$B$9))</f>
        <v>1504.4102123436271</v>
      </c>
      <c r="S3" s="10">
        <f>(('Zip 110 (2)'!S3/(1+Korting!$B$3)*(1-Korting!$B$2)*Prijsmutaties!$B$9))</f>
        <v>1530.0422813872633</v>
      </c>
      <c r="T3" s="10">
        <f>(('Zip 110 (2)'!T3/(1+Korting!$B$3)*(1-Korting!$B$2)*Prijsmutaties!$B$9))</f>
        <v>1556.5897814681723</v>
      </c>
      <c r="U3" s="10">
        <f>(('Zip 110 (2)'!U3/(1+Korting!$B$3)*(1-Korting!$B$2)*Prijsmutaties!$B$9))</f>
        <v>1601.4459022945362</v>
      </c>
      <c r="V3" s="10">
        <f>(('Zip 110 (2)'!V3/(1+Korting!$B$3)*(1-Korting!$B$2)*Prijsmutaties!$B$9))</f>
        <v>1645.3865920836267</v>
      </c>
      <c r="W3" s="10">
        <f>(('Zip 110 (2)'!W3/(1+Korting!$B$3)*(1-Korting!$B$2)*Prijsmutaties!$B$9))</f>
        <v>1690.2427129099904</v>
      </c>
    </row>
    <row r="4" spans="1:23" ht="18.95" customHeight="1">
      <c r="A4" s="625"/>
      <c r="B4" s="5">
        <v>120</v>
      </c>
      <c r="C4" s="15">
        <f>(('Zip 110 (2)'!C4/(1+Korting!$B$3)*(1-Korting!$B$2)*Prijsmutaties!$B$9))</f>
        <v>853.53874484271807</v>
      </c>
      <c r="D4" s="15">
        <f>(('Zip 110 (2)'!D4/(1+Korting!$B$3)*(1-Korting!$B$2)*Prijsmutaties!$B$9))</f>
        <v>910.2954691536271</v>
      </c>
      <c r="E4" s="15">
        <f>(('Zip 110 (2)'!E4/(1+Korting!$B$3)*(1-Korting!$B$2)*Prijsmutaties!$B$9))</f>
        <v>958.81331412908162</v>
      </c>
      <c r="F4" s="15">
        <f>(('Zip 110 (2)'!F4/(1+Korting!$B$3)*(1-Korting!$B$2)*Prijsmutaties!$B$9))</f>
        <v>980.78365902362702</v>
      </c>
      <c r="G4" s="15">
        <f>(('Zip 110 (2)'!G4/(1+Korting!$B$3)*(1-Korting!$B$2)*Prijsmutaties!$B$9))</f>
        <v>1031.1323660736271</v>
      </c>
      <c r="H4" s="15">
        <f>(('Zip 110 (2)'!H4/(1+Korting!$B$3)*(1-Korting!$B$2)*Prijsmutaties!$B$9))</f>
        <v>1069.5804696390817</v>
      </c>
      <c r="I4" s="15">
        <f>(('Zip 110 (2)'!I4/(1+Korting!$B$3)*(1-Korting!$B$2)*Prijsmutaties!$B$9))</f>
        <v>1184.9247803354451</v>
      </c>
      <c r="J4" s="15">
        <f>(('Zip 110 (2)'!J4/(1+Korting!$B$3)*(1-Korting!$B$2)*Prijsmutaties!$B$9))</f>
        <v>1216.9648666399905</v>
      </c>
      <c r="K4" s="15">
        <f>(('Zip 110 (2)'!K4/(1+Korting!$B$3)*(1-Korting!$B$2)*Prijsmutaties!$B$9))</f>
        <v>1259.9901253918088</v>
      </c>
      <c r="L4" s="190">
        <f>(('Zip 110 (2)'!L4/(1+Korting!$B$3)*(1-Korting!$B$2)*Prijsmutaties!$B$9))</f>
        <v>1290.199349621809</v>
      </c>
      <c r="M4" s="15">
        <f>(('Zip 110 (2)'!M4/(1+Korting!$B$3)*(1-Korting!$B$2)*Prijsmutaties!$B$9))</f>
        <v>1332.3091773363542</v>
      </c>
      <c r="N4" s="15">
        <f>(('Zip 110 (2)'!N4/(1+Korting!$B$3)*(1-Korting!$B$2)*Prijsmutaties!$B$9))</f>
        <v>1367.095556752718</v>
      </c>
      <c r="O4" s="15">
        <f>(('Zip 110 (2)'!O4/(1+Korting!$B$3)*(1-Korting!$B$2)*Prijsmutaties!$B$9))</f>
        <v>1409.2053844672635</v>
      </c>
      <c r="P4" s="15">
        <f>(('Zip 110 (2)'!P4/(1+Korting!$B$3)*(1-Korting!$B$2)*Prijsmutaties!$B$9))</f>
        <v>1449.4843501072633</v>
      </c>
      <c r="Q4" s="15">
        <f>(('Zip 110 (2)'!Q4/(1+Korting!$B$3)*(1-Korting!$B$2)*Prijsmutaties!$B$9))</f>
        <v>1496.1713330081723</v>
      </c>
      <c r="R4" s="15">
        <f>(('Zip 110 (2)'!R4/(1+Korting!$B$3)*(1-Korting!$B$2)*Prijsmutaties!$B$9))</f>
        <v>1522.7188330890815</v>
      </c>
      <c r="S4" s="15">
        <f>(('Zip 110 (2)'!S4/(1+Korting!$B$3)*(1-Korting!$B$2)*Prijsmutaties!$B$9))</f>
        <v>1548.3509021327177</v>
      </c>
      <c r="T4" s="190">
        <f>(('Zip 110 (2)'!T4/(1+Korting!$B$3)*(1-Korting!$B$2)*Prijsmutaties!$B$9))</f>
        <v>1573.0675401390813</v>
      </c>
      <c r="U4" s="190">
        <f>(('Zip 110 (2)'!U4/(1+Korting!$B$3)*(1-Korting!$B$2)*Prijsmutaties!$B$9))</f>
        <v>1641.724867934536</v>
      </c>
      <c r="V4" s="190">
        <f>(('Zip 110 (2)'!V4/(1+Korting!$B$3)*(1-Korting!$B$2)*Prijsmutaties!$B$9))</f>
        <v>1710.3821957299906</v>
      </c>
      <c r="W4" s="190">
        <f>(('Zip 110 (2)'!W4/(1+Korting!$B$3)*(1-Korting!$B$2)*Prijsmutaties!$B$9))</f>
        <v>1779.0395235254452</v>
      </c>
    </row>
    <row r="5" spans="1:23" ht="20.100000000000001" customHeight="1">
      <c r="A5" s="625"/>
      <c r="B5" s="13">
        <v>140</v>
      </c>
      <c r="C5" s="10">
        <f>(('Zip 110 (2)'!C5/(1+Korting!$B$3)*(1-Korting!$B$2)*Prijsmutaties!$B$9))</f>
        <v>871.84736558817258</v>
      </c>
      <c r="D5" s="10">
        <f>(('Zip 110 (2)'!D5/(1+Korting!$B$3)*(1-Korting!$B$2)*Prijsmutaties!$B$9))</f>
        <v>928.6040898990816</v>
      </c>
      <c r="E5" s="10">
        <f>(('Zip 110 (2)'!E5/(1+Korting!$B$3)*(1-Korting!$B$2)*Prijsmutaties!$B$9))</f>
        <v>977.12193487453612</v>
      </c>
      <c r="F5" s="10">
        <f>(('Zip 110 (2)'!F5/(1+Korting!$B$3)*(1-Korting!$B$2)*Prijsmutaties!$B$9))</f>
        <v>999.09227976908164</v>
      </c>
      <c r="G5" s="10">
        <f>(('Zip 110 (2)'!G5/(1+Korting!$B$3)*(1-Korting!$B$2)*Prijsmutaties!$B$9))</f>
        <v>1049.4409868190817</v>
      </c>
      <c r="H5" s="10">
        <f>(('Zip 110 (2)'!H5/(1+Korting!$B$3)*(1-Korting!$B$2)*Prijsmutaties!$B$9))</f>
        <v>1087.8890903845361</v>
      </c>
      <c r="I5" s="10">
        <f>(('Zip 110 (2)'!I5/(1+Korting!$B$3)*(1-Korting!$B$2)*Prijsmutaties!$B$9))</f>
        <v>1203.2334010808997</v>
      </c>
      <c r="J5" s="10">
        <f>(('Zip 110 (2)'!J5/(1+Korting!$B$3)*(1-Korting!$B$2)*Prijsmutaties!$B$9))</f>
        <v>1235.2734873854452</v>
      </c>
      <c r="K5" s="10">
        <f>(('Zip 110 (2)'!K5/(1+Korting!$B$3)*(1-Korting!$B$2)*Prijsmutaties!$B$9))</f>
        <v>1278.2987461372634</v>
      </c>
      <c r="L5" s="189">
        <f>(('Zip 110 (2)'!L5/(1+Korting!$B$3)*(1-Korting!$B$2)*Prijsmutaties!$B$9))</f>
        <v>1308.5079703672634</v>
      </c>
      <c r="M5" s="10">
        <f>(('Zip 110 (2)'!M5/(1+Korting!$B$3)*(1-Korting!$B$2)*Prijsmutaties!$B$9))</f>
        <v>1350.6177980818088</v>
      </c>
      <c r="N5" s="10">
        <f>(('Zip 110 (2)'!N5/(1+Korting!$B$3)*(1-Korting!$B$2)*Prijsmutaties!$B$9))</f>
        <v>1385.4041774981727</v>
      </c>
      <c r="O5" s="10">
        <f>(('Zip 110 (2)'!O5/(1+Korting!$B$3)*(1-Korting!$B$2)*Prijsmutaties!$B$9))</f>
        <v>1427.5140052127178</v>
      </c>
      <c r="P5" s="10">
        <f>(('Zip 110 (2)'!P5/(1+Korting!$B$3)*(1-Korting!$B$2)*Prijsmutaties!$B$9))</f>
        <v>1465.9621087781727</v>
      </c>
      <c r="Q5" s="10">
        <f>(('Zip 110 (2)'!Q5/(1+Korting!$B$3)*(1-Korting!$B$2)*Prijsmutaties!$B$9))</f>
        <v>1512.6490916790815</v>
      </c>
      <c r="R5" s="10">
        <f>(('Zip 110 (2)'!R5/(1+Korting!$B$3)*(1-Korting!$B$2)*Prijsmutaties!$B$9))</f>
        <v>1538.2811607227181</v>
      </c>
      <c r="S5" s="10">
        <f>(('Zip 110 (2)'!S5/(1+Korting!$B$3)*(1-Korting!$B$2)*Prijsmutaties!$B$9))</f>
        <v>1564.8286608036271</v>
      </c>
      <c r="T5" s="189">
        <f>(('Zip 110 (2)'!T5/(1+Korting!$B$3)*(1-Korting!$B$2)*Prijsmutaties!$B$9))</f>
        <v>1613.3465057790816</v>
      </c>
      <c r="U5" s="10">
        <f>(('Zip 110 (2)'!U5/(1+Korting!$B$3)*(1-Korting!$B$2)*Prijsmutaties!$B$9))</f>
        <v>1658.2026266054452</v>
      </c>
      <c r="V5" s="189">
        <f>(('Zip 110 (2)'!V5/(1+Korting!$B$3)*(1-Korting!$B$2)*Prijsmutaties!$B$9))</f>
        <v>1732.352540624536</v>
      </c>
      <c r="W5" s="10">
        <f>(('Zip 110 (2)'!W5/(1+Korting!$B$3)*(1-Korting!$B$2)*Prijsmutaties!$B$9))</f>
        <v>1807.4178856808996</v>
      </c>
    </row>
    <row r="6" spans="1:23" ht="18.95" customHeight="1">
      <c r="A6" s="625"/>
      <c r="B6" s="5">
        <v>160</v>
      </c>
      <c r="C6" s="15">
        <f>(('Zip 110 (2)'!C6/(1+Korting!$B$3)*(1-Korting!$B$2)*Prijsmutaties!$B$9))</f>
        <v>898.3948656690817</v>
      </c>
      <c r="D6" s="15">
        <f>(('Zip 110 (2)'!D6/(1+Korting!$B$3)*(1-Korting!$B$2)*Prijsmutaties!$B$9))</f>
        <v>960.64417620362713</v>
      </c>
      <c r="E6" s="15">
        <f>(('Zip 110 (2)'!E6/(1+Korting!$B$3)*(1-Korting!$B$2)*Prijsmutaties!$B$9))</f>
        <v>1007.331159104536</v>
      </c>
      <c r="F6" s="15">
        <f>(('Zip 110 (2)'!F6/(1+Korting!$B$3)*(1-Korting!$B$2)*Prijsmutaties!$B$9))</f>
        <v>1031.1323660736271</v>
      </c>
      <c r="G6" s="15">
        <f>(('Zip 110 (2)'!G6/(1+Korting!$B$3)*(1-Korting!$B$2)*Prijsmutaties!$B$9))</f>
        <v>1079.6502110490815</v>
      </c>
      <c r="H6" s="15">
        <f>(('Zip 110 (2)'!H6/(1+Korting!$B$3)*(1-Korting!$B$2)*Prijsmutaties!$B$9))</f>
        <v>1124.5063318754453</v>
      </c>
      <c r="I6" s="15">
        <f>(('Zip 110 (2)'!I6/(1+Korting!$B$3)*(1-Korting!$B$2)*Prijsmutaties!$B$9))</f>
        <v>1233.4426253108998</v>
      </c>
      <c r="J6" s="15">
        <f>(('Zip 110 (2)'!J6/(1+Korting!$B$3)*(1-Korting!$B$2)*Prijsmutaties!$B$9))</f>
        <v>1271.8907288763544</v>
      </c>
      <c r="K6" s="15">
        <f>(('Zip 110 (2)'!K6/(1+Korting!$B$3)*(1-Korting!$B$2)*Prijsmutaties!$B$9))</f>
        <v>1314.0005565908998</v>
      </c>
      <c r="L6" s="190">
        <f>(('Zip 110 (2)'!L6/(1+Korting!$B$3)*(1-Korting!$B$2)*Prijsmutaties!$B$9))</f>
        <v>1350.6177980818088</v>
      </c>
      <c r="M6" s="15">
        <f>(('Zip 110 (2)'!M6/(1+Korting!$B$3)*(1-Korting!$B$2)*Prijsmutaties!$B$9))</f>
        <v>1390.8967637218088</v>
      </c>
      <c r="N6" s="15">
        <f>(('Zip 110 (2)'!N6/(1+Korting!$B$3)*(1-Korting!$B$2)*Prijsmutaties!$B$9))</f>
        <v>1421.1059879518089</v>
      </c>
      <c r="O6" s="15">
        <f>(('Zip 110 (2)'!O6/(1+Korting!$B$3)*(1-Korting!$B$2)*Prijsmutaties!$B$9))</f>
        <v>1467.7929708527181</v>
      </c>
      <c r="P6" s="15">
        <f>(('Zip 110 (2)'!P6/(1+Korting!$B$3)*(1-Korting!$B$2)*Prijsmutaties!$B$9))</f>
        <v>1512.6490916790815</v>
      </c>
      <c r="Q6" s="15">
        <f>(('Zip 110 (2)'!Q6/(1+Korting!$B$3)*(1-Korting!$B$2)*Prijsmutaties!$B$9))</f>
        <v>1552.9280573190815</v>
      </c>
      <c r="R6" s="15">
        <f>(('Zip 110 (2)'!R6/(1+Korting!$B$3)*(1-Korting!$B$2)*Prijsmutaties!$B$9))</f>
        <v>1609.6847816299908</v>
      </c>
      <c r="S6" s="15">
        <f>(('Zip 110 (2)'!S6/(1+Korting!$B$3)*(1-Korting!$B$2)*Prijsmutaties!$B$9))</f>
        <v>1633.4859885990816</v>
      </c>
      <c r="T6" s="190">
        <f>(('Zip 110 (2)'!T6/(1+Korting!$B$3)*(1-Korting!$B$2)*Prijsmutaties!$B$9))</f>
        <v>1663.6952128290814</v>
      </c>
      <c r="U6" s="15">
        <f>(('Zip 110 (2)'!U6/(1+Korting!$B$3)*(1-Korting!$B$2)*Prijsmutaties!$B$9))</f>
        <v>1702.143316394536</v>
      </c>
      <c r="V6" s="190">
        <f>(('Zip 110 (2)'!V6/(1+Korting!$B$3)*(1-Korting!$B$2)*Prijsmutaties!$B$9))</f>
        <v>1770.8006441899904</v>
      </c>
      <c r="W6" s="15">
        <f>(('Zip 110 (2)'!W6/(1+Korting!$B$3)*(1-Korting!$B$2)*Prijsmutaties!$B$9))</f>
        <v>1839.4579719854451</v>
      </c>
    </row>
    <row r="7" spans="1:23" ht="18.95" customHeight="1">
      <c r="A7" s="625"/>
      <c r="B7" s="307">
        <v>180</v>
      </c>
      <c r="C7" s="262">
        <f>(('Zip 110 (2)'!C7/(1+Korting!$B$3)*(1-Korting!$B$2)*Prijsmutaties!$B$9))</f>
        <v>928.6040898990816</v>
      </c>
      <c r="D7" s="262">
        <f>(('Zip 110 (2)'!D7/(1+Korting!$B$3)*(1-Korting!$B$2)*Prijsmutaties!$B$9))</f>
        <v>990.85340043362714</v>
      </c>
      <c r="E7" s="262">
        <f>(('Zip 110 (2)'!E7/(1+Korting!$B$3)*(1-Korting!$B$2)*Prijsmutaties!$B$9))</f>
        <v>1039.3712454090814</v>
      </c>
      <c r="F7" s="262">
        <f>(('Zip 110 (2)'!F7/(1+Korting!$B$3)*(1-Korting!$B$2)*Prijsmutaties!$B$9))</f>
        <v>1067.7496075645361</v>
      </c>
      <c r="G7" s="262">
        <f>(('Zip 110 (2)'!G7/(1+Korting!$B$3)*(1-Korting!$B$2)*Prijsmutaties!$B$9))</f>
        <v>1122.6754698008997</v>
      </c>
      <c r="H7" s="10">
        <f>(('Zip 110 (2)'!H7/(1+Korting!$B$3)*(1-Korting!$B$2)*Prijsmutaties!$B$9))</f>
        <v>1161.1235733663543</v>
      </c>
      <c r="I7" s="10">
        <f>(('Zip 110 (2)'!I7/(1+Korting!$B$3)*(1-Korting!$B$2)*Prijsmutaties!$B$9))</f>
        <v>1275.5524530254449</v>
      </c>
      <c r="J7" s="10">
        <f>(('Zip 110 (2)'!J7/(1+Korting!$B$3)*(1-Korting!$B$2)*Prijsmutaties!$B$9))</f>
        <v>1314.0005565908998</v>
      </c>
      <c r="K7" s="10">
        <f>(('Zip 110 (2)'!K7/(1+Korting!$B$3)*(1-Korting!$B$2)*Prijsmutaties!$B$9))</f>
        <v>1362.5184015663544</v>
      </c>
      <c r="L7" s="189">
        <f>(('Zip 110 (2)'!L7/(1+Korting!$B$3)*(1-Korting!$B$2)*Prijsmutaties!$B$9))</f>
        <v>1397.3047809827178</v>
      </c>
      <c r="M7" s="10">
        <f>(('Zip 110 (2)'!M7/(1+Korting!$B$3)*(1-Korting!$B$2)*Prijsmutaties!$B$9))</f>
        <v>1439.4146086972632</v>
      </c>
      <c r="N7" s="10">
        <f>(('Zip 110 (2)'!N7/(1+Korting!$B$3)*(1-Korting!$B$2)*Prijsmutaties!$B$9))</f>
        <v>1474.2009881136269</v>
      </c>
      <c r="O7" s="10">
        <f>(('Zip 110 (2)'!O7/(1+Korting!$B$3)*(1-Korting!$B$2)*Prijsmutaties!$B$9))</f>
        <v>1519.9725399772633</v>
      </c>
      <c r="P7" s="10">
        <f>(('Zip 110 (2)'!P7/(1+Korting!$B$3)*(1-Korting!$B$2)*Prijsmutaties!$B$9))</f>
        <v>1564.8286608036271</v>
      </c>
      <c r="Q7" s="10">
        <f>(('Zip 110 (2)'!Q7/(1+Korting!$B$3)*(1-Korting!$B$2)*Prijsmutaties!$B$9))</f>
        <v>1635.316850673627</v>
      </c>
      <c r="R7" s="10">
        <f>(('Zip 110 (2)'!R7/(1+Korting!$B$3)*(1-Korting!$B$2)*Prijsmutaties!$B$9))</f>
        <v>1665.5260749036267</v>
      </c>
      <c r="S7" s="10">
        <f>(('Zip 110 (2)'!S7/(1+Korting!$B$3)*(1-Korting!$B$2)*Prijsmutaties!$B$9))</f>
        <v>1695.735299133627</v>
      </c>
      <c r="T7" s="189">
        <f>(('Zip 110 (2)'!T7/(1+Korting!$B$3)*(1-Korting!$B$2)*Prijsmutaties!$B$9))</f>
        <v>1726.8599544008996</v>
      </c>
      <c r="U7" s="10">
        <f>(('Zip 110 (2)'!U7/(1+Korting!$B$3)*(1-Korting!$B$2)*Prijsmutaties!$B$9))</f>
        <v>1770.8006441899904</v>
      </c>
      <c r="V7" s="189">
        <f>(('Zip 110 (2)'!V7/(1+Korting!$B$3)*(1-Korting!$B$2)*Prijsmutaties!$B$9))</f>
        <v>1815.656765016354</v>
      </c>
      <c r="W7" s="10">
        <f>(('Zip 110 (2)'!W7/(1+Korting!$B$3)*(1-Korting!$B$2)*Prijsmutaties!$B$9))</f>
        <v>1859.5974548054451</v>
      </c>
    </row>
    <row r="8" spans="1:23" ht="20.100000000000001" customHeight="1">
      <c r="A8" s="625"/>
      <c r="B8" s="5">
        <v>200</v>
      </c>
      <c r="C8" s="15">
        <f>(('Zip 110 (2)'!C8/(1+Korting!$B$3)*(1-Korting!$B$2)*Prijsmutaties!$B$9))</f>
        <v>972.54477968817264</v>
      </c>
      <c r="D8" s="15">
        <f>(('Zip 110 (2)'!D8/(1+Korting!$B$3)*(1-Korting!$B$2)*Prijsmutaties!$B$9))</f>
        <v>1035.7095212599907</v>
      </c>
      <c r="E8" s="15">
        <f>(('Zip 110 (2)'!E8/(1+Korting!$B$3)*(1-Korting!$B$2)*Prijsmutaties!$B$9))</f>
        <v>1087.8890903845361</v>
      </c>
      <c r="F8" s="15">
        <f>(('Zip 110 (2)'!F8/(1+Korting!$B$3)*(1-Korting!$B$2)*Prijsmutaties!$B$9))</f>
        <v>1116.2674525399907</v>
      </c>
      <c r="G8" s="15">
        <f>(('Zip 110 (2)'!G8/(1+Korting!$B$3)*(1-Korting!$B$2)*Prijsmutaties!$B$9))</f>
        <v>1171.1933147763543</v>
      </c>
      <c r="H8" s="15">
        <f>(('Zip 110 (2)'!H8/(1+Korting!$B$3)*(1-Korting!$B$2)*Prijsmutaties!$B$9))</f>
        <v>1281.9604702863542</v>
      </c>
      <c r="I8" s="15">
        <f>(('Zip 110 (2)'!I8/(1+Korting!$B$3)*(1-Korting!$B$2)*Prijsmutaties!$B$9))</f>
        <v>1342.3789187463544</v>
      </c>
      <c r="J8" s="15">
        <f>(('Zip 110 (2)'!J8/(1+Korting!$B$3)*(1-Korting!$B$2)*Prijsmutaties!$B$9))</f>
        <v>1380.8270223118088</v>
      </c>
      <c r="K8" s="15">
        <f>(('Zip 110 (2)'!K8/(1+Korting!$B$3)*(1-Korting!$B$2)*Prijsmutaties!$B$9))</f>
        <v>1433.0065914363543</v>
      </c>
      <c r="L8" s="190">
        <f>(('Zip 110 (2)'!L8/(1+Korting!$B$3)*(1-Korting!$B$2)*Prijsmutaties!$B$9))</f>
        <v>1469.6238329272633</v>
      </c>
      <c r="M8" s="15">
        <f>(('Zip 110 (2)'!M8/(1+Korting!$B$3)*(1-Korting!$B$2)*Prijsmutaties!$B$9))</f>
        <v>1516.3108158281725</v>
      </c>
      <c r="N8" s="15">
        <f>(('Zip 110 (2)'!N8/(1+Korting!$B$3)*(1-Korting!$B$2)*Prijsmutaties!$B$9))</f>
        <v>1556.5897814681723</v>
      </c>
      <c r="O8" s="15">
        <f>(('Zip 110 (2)'!O8/(1+Korting!$B$3)*(1-Korting!$B$2)*Prijsmutaties!$B$9))</f>
        <v>1609.6847816299908</v>
      </c>
      <c r="P8" s="15">
        <f>(('Zip 110 (2)'!P8/(1+Korting!$B$3)*(1-Korting!$B$2)*Prijsmutaties!$B$9))</f>
        <v>1682.0038335745362</v>
      </c>
      <c r="Q8" s="15">
        <f>(('Zip 110 (2)'!Q8/(1+Korting!$B$3)*(1-Korting!$B$2)*Prijsmutaties!$B$9))</f>
        <v>1728.6908164754452</v>
      </c>
      <c r="R8" s="15">
        <f>(('Zip 110 (2)'!R8/(1+Korting!$B$3)*(1-Korting!$B$2)*Prijsmutaties!$B$9))</f>
        <v>1764.3926269290812</v>
      </c>
      <c r="S8" s="15">
        <f>(('Zip 110 (2)'!S8/(1+Korting!$B$3)*(1-Korting!$B$2)*Prijsmutaties!$B$9))</f>
        <v>1792.770989084536</v>
      </c>
      <c r="T8" s="190">
        <f>(('Zip 110 (2)'!T8/(1+Korting!$B$3)*(1-Korting!$B$2)*Prijsmutaties!$B$9))</f>
        <v>1827.5573685008997</v>
      </c>
      <c r="U8" s="15">
        <f>(('Zip 110 (2)'!U8/(1+Korting!$B$3)*(1-Korting!$B$2)*Prijsmutaties!$B$9))</f>
        <v>1871.4980582899907</v>
      </c>
      <c r="V8" s="190">
        <f>(('Zip 110 (2)'!V8/(1+Korting!$B$3)*(1-Korting!$B$2)*Prijsmutaties!$B$9))</f>
        <v>1916.3541791163541</v>
      </c>
      <c r="W8" s="15">
        <f>(('Zip 110 (2)'!W8/(1+Korting!$B$3)*(1-Korting!$B$2)*Prijsmutaties!$B$9))</f>
        <v>1961.2102999427177</v>
      </c>
    </row>
    <row r="9" spans="1:23" ht="18.95" customHeight="1">
      <c r="A9" s="625"/>
      <c r="B9" s="13">
        <v>220</v>
      </c>
      <c r="C9" s="10">
        <f>(('Zip 110 (2)'!C9/(1+Korting!$B$3)*(1-Korting!$B$2)*Prijsmutaties!$B$9))</f>
        <v>990.85340043362714</v>
      </c>
      <c r="D9" s="10">
        <f>(('Zip 110 (2)'!D9/(1+Korting!$B$3)*(1-Korting!$B$2)*Prijsmutaties!$B$9))</f>
        <v>1054.0181420054453</v>
      </c>
      <c r="E9" s="10">
        <f>(('Zip 110 (2)'!E9/(1+Korting!$B$3)*(1-Korting!$B$2)*Prijsmutaties!$B$9))</f>
        <v>1106.1977111299905</v>
      </c>
      <c r="F9" s="10">
        <f>(('Zip 110 (2)'!F9/(1+Korting!$B$3)*(1-Korting!$B$2)*Prijsmutaties!$B$9))</f>
        <v>1134.5760732854451</v>
      </c>
      <c r="G9" s="10">
        <f>(('Zip 110 (2)'!G9/(1+Korting!$B$3)*(1-Korting!$B$2)*Prijsmutaties!$B$9))</f>
        <v>1188.5865044845361</v>
      </c>
      <c r="H9" s="10">
        <f>(('Zip 110 (2)'!H9/(1+Korting!$B$3)*(1-Korting!$B$2)*Prijsmutaties!$B$9))</f>
        <v>1300.2690910318086</v>
      </c>
      <c r="I9" s="10">
        <f>(('Zip 110 (2)'!I9/(1+Korting!$B$3)*(1-Korting!$B$2)*Prijsmutaties!$B$9))</f>
        <v>1360.6875394918086</v>
      </c>
      <c r="J9" s="10">
        <f>(('Zip 110 (2)'!J9/(1+Korting!$B$3)*(1-Korting!$B$2)*Prijsmutaties!$B$9))</f>
        <v>1397.3047809827178</v>
      </c>
      <c r="K9" s="10">
        <f>(('Zip 110 (2)'!K9/(1+Korting!$B$3)*(1-Korting!$B$2)*Prijsmutaties!$B$9))</f>
        <v>1445.8226259581725</v>
      </c>
      <c r="L9" s="189">
        <f>(('Zip 110 (2)'!L9/(1+Korting!$B$3)*(1-Korting!$B$2)*Prijsmutaties!$B$9))</f>
        <v>1486.1015915981725</v>
      </c>
      <c r="M9" s="10">
        <f>(('Zip 110 (2)'!M9/(1+Korting!$B$3)*(1-Korting!$B$2)*Prijsmutaties!$B$9))</f>
        <v>1534.6194365736269</v>
      </c>
      <c r="N9" s="10">
        <f>(('Zip 110 (2)'!N9/(1+Korting!$B$3)*(1-Korting!$B$2)*Prijsmutaties!$B$9))</f>
        <v>1573.0675401390813</v>
      </c>
      <c r="O9" s="10">
        <f>(('Zip 110 (2)'!O9/(1+Korting!$B$3)*(1-Korting!$B$2)*Prijsmutaties!$B$9))</f>
        <v>1649.9637472699906</v>
      </c>
      <c r="P9" s="10">
        <f>(('Zip 110 (2)'!P9/(1+Korting!$B$3)*(1-Korting!$B$2)*Prijsmutaties!$B$9))</f>
        <v>1700.3124543199906</v>
      </c>
      <c r="Q9" s="10">
        <f>(('Zip 110 (2)'!Q9/(1+Korting!$B$3)*(1-Korting!$B$2)*Prijsmutaties!$B$9))</f>
        <v>1746.9994372208996</v>
      </c>
      <c r="R9" s="10">
        <f>(('Zip 110 (2)'!R9/(1+Korting!$B$3)*(1-Korting!$B$2)*Prijsmutaties!$B$9))</f>
        <v>1780.8703855999906</v>
      </c>
      <c r="S9" s="10">
        <f>(('Zip 110 (2)'!S9/(1+Korting!$B$3)*(1-Korting!$B$2)*Prijsmutaties!$B$9))</f>
        <v>1811.0796098299907</v>
      </c>
      <c r="T9" s="189">
        <f>(('Zip 110 (2)'!T9/(1+Korting!$B$3)*(1-Korting!$B$2)*Prijsmutaties!$B$9))</f>
        <v>1844.0351271718087</v>
      </c>
      <c r="U9" s="10">
        <f>(('Zip 110 (2)'!U9/(1+Korting!$B$3)*(1-Korting!$B$2)*Prijsmutaties!$B$9))</f>
        <v>1889.8066790354451</v>
      </c>
      <c r="V9" s="189">
        <f>(('Zip 110 (2)'!V9/(1+Korting!$B$3)*(1-Korting!$B$2)*Prijsmutaties!$B$9))</f>
        <v>1936.4936619363541</v>
      </c>
      <c r="W9" s="10">
        <f>(('Zip 110 (2)'!W9/(1+Korting!$B$3)*(1-Korting!$B$2)*Prijsmutaties!$B$9))</f>
        <v>1983.1806448372631</v>
      </c>
    </row>
    <row r="10" spans="1:23" ht="18.95" customHeight="1">
      <c r="A10" s="625"/>
      <c r="B10" s="5">
        <v>240</v>
      </c>
      <c r="C10" s="15">
        <f>(('Zip 110 (2)'!C10/(1+Korting!$B$3)*(1-Korting!$B$2)*Prijsmutaties!$B$9))</f>
        <v>1022.8934867381726</v>
      </c>
      <c r="D10" s="15">
        <f>(('Zip 110 (2)'!D10/(1+Korting!$B$3)*(1-Korting!$B$2)*Prijsmutaties!$B$9))</f>
        <v>1091.5508145336271</v>
      </c>
      <c r="E10" s="15">
        <f>(('Zip 110 (2)'!E10/(1+Korting!$B$3)*(1-Korting!$B$2)*Prijsmutaties!$B$9))</f>
        <v>1144.6458146954453</v>
      </c>
      <c r="F10" s="15">
        <f>(('Zip 110 (2)'!F10/(1+Korting!$B$3)*(1-Korting!$B$2)*Prijsmutaties!$B$9))</f>
        <v>1176.6859009999905</v>
      </c>
      <c r="G10" s="15">
        <f>(('Zip 110 (2)'!G10/(1+Korting!$B$3)*(1-Korting!$B$2)*Prijsmutaties!$B$9))</f>
        <v>1239.8506425718087</v>
      </c>
      <c r="H10" s="15">
        <f>(('Zip 110 (2)'!H10/(1+Korting!$B$3)*(1-Korting!$B$2)*Prijsmutaties!$B$9))</f>
        <v>1348.7869360072632</v>
      </c>
      <c r="I10" s="15">
        <f>(('Zip 110 (2)'!I10/(1+Korting!$B$3)*(1-Korting!$B$2)*Prijsmutaties!$B$9))</f>
        <v>1409.2053844672635</v>
      </c>
      <c r="J10" s="15">
        <f>(('Zip 110 (2)'!J10/(1+Korting!$B$3)*(1-Korting!$B$2)*Prijsmutaties!$B$9))</f>
        <v>1451.3152121818086</v>
      </c>
      <c r="K10" s="15">
        <f>(('Zip 110 (2)'!K10/(1+Korting!$B$3)*(1-Korting!$B$2)*Prijsmutaties!$B$9))</f>
        <v>1506.2410744181725</v>
      </c>
      <c r="L10" s="190">
        <f>(('Zip 110 (2)'!L10/(1+Korting!$B$3)*(1-Korting!$B$2)*Prijsmutaties!$B$9))</f>
        <v>1546.5200400581723</v>
      </c>
      <c r="M10" s="15">
        <f>(('Zip 110 (2)'!M10/(1+Korting!$B$3)*(1-Korting!$B$2)*Prijsmutaties!$B$9))</f>
        <v>1598.6996091827179</v>
      </c>
      <c r="N10" s="15">
        <f>(('Zip 110 (2)'!N10/(1+Korting!$B$3)*(1-Korting!$B$2)*Prijsmutaties!$B$9))</f>
        <v>1661.8643507545362</v>
      </c>
      <c r="O10" s="15">
        <f>(('Zip 110 (2)'!O10/(1+Korting!$B$3)*(1-Korting!$B$2)*Prijsmutaties!$B$9))</f>
        <v>1714.0439198790814</v>
      </c>
      <c r="P10" s="15">
        <f>(('Zip 110 (2)'!P10/(1+Korting!$B$3)*(1-Korting!$B$2)*Prijsmutaties!$B$9))</f>
        <v>1768.969782115445</v>
      </c>
      <c r="Q10" s="15">
        <f>(('Zip 110 (2)'!Q10/(1+Korting!$B$3)*(1-Korting!$B$2)*Prijsmutaties!$B$9))</f>
        <v>1821.1493512399904</v>
      </c>
      <c r="R10" s="15">
        <f>(('Zip 110 (2)'!R10/(1+Korting!$B$3)*(1-Korting!$B$2)*Prijsmutaties!$B$9))</f>
        <v>1855.9357306563541</v>
      </c>
      <c r="S10" s="15">
        <f>(('Zip 110 (2)'!S10/(1+Korting!$B$3)*(1-Korting!$B$2)*Prijsmutaties!$B$9))</f>
        <v>1889.8066790354451</v>
      </c>
      <c r="T10" s="190">
        <f>(('Zip 110 (2)'!T10/(1+Korting!$B$3)*(1-Korting!$B$2)*Prijsmutaties!$B$9))</f>
        <v>1922.7621963772633</v>
      </c>
      <c r="U10" s="15">
        <f>(('Zip 110 (2)'!U10/(1+Korting!$B$3)*(1-Korting!$B$2)*Prijsmutaties!$B$9))</f>
        <v>1974.9417655018087</v>
      </c>
      <c r="V10" s="190">
        <f>(('Zip 110 (2)'!V10/(1+Korting!$B$3)*(1-Korting!$B$2)*Prijsmutaties!$B$9))</f>
        <v>2027.1213346263542</v>
      </c>
      <c r="W10" s="15">
        <f>(('Zip 110 (2)'!W10/(1+Korting!$B$3)*(1-Korting!$B$2)*Prijsmutaties!$B$9))</f>
        <v>2080.2163347881724</v>
      </c>
    </row>
    <row r="11" spans="1:23" ht="20.100000000000001" customHeight="1">
      <c r="A11" s="625"/>
      <c r="B11" s="13">
        <v>260</v>
      </c>
      <c r="C11" s="10">
        <f>(('Zip 110 (2)'!C11/(1+Korting!$B$3)*(1-Korting!$B$2)*Prijsmutaties!$B$9))</f>
        <v>1041.2021074836271</v>
      </c>
      <c r="D11" s="10">
        <f>(('Zip 110 (2)'!D11/(1+Korting!$B$3)*(1-Korting!$B$2)*Prijsmutaties!$B$9))</f>
        <v>1109.8594352790815</v>
      </c>
      <c r="E11" s="10">
        <f>(('Zip 110 (2)'!E11/(1+Korting!$B$3)*(1-Korting!$B$2)*Prijsmutaties!$B$9))</f>
        <v>1162.9544354408997</v>
      </c>
      <c r="F11" s="10">
        <f>(('Zip 110 (2)'!F11/(1+Korting!$B$3)*(1-Korting!$B$2)*Prijsmutaties!$B$9))</f>
        <v>1194.9945217454454</v>
      </c>
      <c r="G11" s="10">
        <f>(('Zip 110 (2)'!G11/(1+Korting!$B$3)*(1-Korting!$B$2)*Prijsmutaties!$B$9))</f>
        <v>1257.2438322799906</v>
      </c>
      <c r="H11" s="10">
        <f>(('Zip 110 (2)'!H11/(1+Korting!$B$3)*(1-Korting!$B$2)*Prijsmutaties!$B$9))</f>
        <v>1367.095556752718</v>
      </c>
      <c r="I11" s="10">
        <f>(('Zip 110 (2)'!I11/(1+Korting!$B$3)*(1-Korting!$B$2)*Prijsmutaties!$B$9))</f>
        <v>1427.5140052127178</v>
      </c>
      <c r="J11" s="10">
        <f>(('Zip 110 (2)'!J11/(1+Korting!$B$3)*(1-Korting!$B$2)*Prijsmutaties!$B$9))</f>
        <v>1469.6238329272633</v>
      </c>
      <c r="K11" s="10">
        <f>(('Zip 110 (2)'!K11/(1+Korting!$B$3)*(1-Korting!$B$2)*Prijsmutaties!$B$9))</f>
        <v>1524.5496951636269</v>
      </c>
      <c r="L11" s="189">
        <f>(('Zip 110 (2)'!L11/(1+Korting!$B$3)*(1-Korting!$B$2)*Prijsmutaties!$B$9))</f>
        <v>1564.8286608036271</v>
      </c>
      <c r="M11" s="10">
        <f>(('Zip 110 (2)'!M11/(1+Korting!$B$3)*(1-Korting!$B$2)*Prijsmutaties!$B$9))</f>
        <v>1641.724867934536</v>
      </c>
      <c r="N11" s="10">
        <f>(('Zip 110 (2)'!N11/(1+Korting!$B$3)*(1-Korting!$B$2)*Prijsmutaties!$B$9))</f>
        <v>1680.1729714999908</v>
      </c>
      <c r="O11" s="10">
        <f>(('Zip 110 (2)'!O11/(1+Korting!$B$3)*(1-Korting!$B$2)*Prijsmutaties!$B$9))</f>
        <v>1732.352540624536</v>
      </c>
      <c r="P11" s="10">
        <f>(('Zip 110 (2)'!P11/(1+Korting!$B$3)*(1-Korting!$B$2)*Prijsmutaties!$B$9))</f>
        <v>1787.2784028608994</v>
      </c>
      <c r="Q11" s="10">
        <f>(('Zip 110 (2)'!Q11/(1+Korting!$B$3)*(1-Korting!$B$2)*Prijsmutaties!$B$9))</f>
        <v>1839.4579719854451</v>
      </c>
      <c r="R11" s="10">
        <f>(('Zip 110 (2)'!R11/(1+Korting!$B$3)*(1-Korting!$B$2)*Prijsmutaties!$B$9))</f>
        <v>1874.2443514018087</v>
      </c>
      <c r="S11" s="10">
        <f>(('Zip 110 (2)'!S11/(1+Korting!$B$3)*(1-Korting!$B$2)*Prijsmutaties!$B$9))</f>
        <v>1908.1152997808995</v>
      </c>
      <c r="T11" s="189">
        <f>(('Zip 110 (2)'!T11/(1+Korting!$B$3)*(1-Korting!$B$2)*Prijsmutaties!$B$9))</f>
        <v>1941.0708171227179</v>
      </c>
      <c r="U11" s="10">
        <f>(('Zip 110 (2)'!U11/(1+Korting!$B$3)*(1-Korting!$B$2)*Prijsmutaties!$B$9))</f>
        <v>1991.4195241727177</v>
      </c>
      <c r="V11" s="189">
        <f>(('Zip 110 (2)'!V11/(1+Korting!$B$3)*(1-Korting!$B$2)*Prijsmutaties!$B$9))</f>
        <v>2041.7682312227178</v>
      </c>
      <c r="W11" s="10">
        <f>(('Zip 110 (2)'!W11/(1+Korting!$B$3)*(1-Korting!$B$2)*Prijsmutaties!$B$9))</f>
        <v>2092.116938272718</v>
      </c>
    </row>
    <row r="12" spans="1:23" ht="18.95" customHeight="1">
      <c r="A12" s="625"/>
      <c r="B12" s="24">
        <v>270</v>
      </c>
      <c r="C12" s="20">
        <f>(('Zip 110 (2)'!C12/(1+Korting!$B$3)*(1-Korting!$B$2)*Prijsmutaties!$B$9))</f>
        <v>1104.3668490554451</v>
      </c>
      <c r="D12" s="20">
        <f>(('Zip 110 (2)'!D12/(1+Korting!$B$3)*(1-Korting!$B$2)*Prijsmutaties!$B$9))</f>
        <v>1235.2734873854452</v>
      </c>
      <c r="E12" s="20">
        <f>(('Zip 110 (2)'!E12/(1+Korting!$B$3)*(1-Korting!$B$2)*Prijsmutaties!$B$9))</f>
        <v>1280.1296082118088</v>
      </c>
      <c r="F12" s="20">
        <f>(('Zip 110 (2)'!F12/(1+Korting!$B$3)*(1-Korting!$B$2)*Prijsmutaties!$B$9))</f>
        <v>1293.8610737708998</v>
      </c>
      <c r="G12" s="20">
        <f>(('Zip 110 (2)'!G12/(1+Korting!$B$3)*(1-Korting!$B$2)*Prijsmutaties!$B$9))</f>
        <v>1372.588142976354</v>
      </c>
      <c r="H12" s="20">
        <f>(('Zip 110 (2)'!H12/(1+Korting!$B$3)*(1-Korting!$B$2)*Prijsmutaties!$B$9))</f>
        <v>1455.8923673681725</v>
      </c>
      <c r="I12" s="20">
        <f>(('Zip 110 (2)'!I12/(1+Korting!$B$3)*(1-Korting!$B$2)*Prijsmutaties!$B$9))</f>
        <v>1530.0422813872633</v>
      </c>
      <c r="J12" s="20">
        <f>(('Zip 110 (2)'!J12/(1+Korting!$B$3)*(1-Korting!$B$2)*Prijsmutaties!$B$9))</f>
        <v>1566.6595228781723</v>
      </c>
      <c r="K12" s="20">
        <f>(('Zip 110 (2)'!K12/(1+Korting!$B$3)*(1-Korting!$B$2)*Prijsmutaties!$B$9))</f>
        <v>1619.7545230399903</v>
      </c>
      <c r="L12" s="235">
        <f>(('Zip 110 (2)'!L12/(1+Korting!$B$3)*(1-Korting!$B$2)*Prijsmutaties!$B$9))</f>
        <v>1660.0334886799906</v>
      </c>
      <c r="M12" s="20">
        <f>(('Zip 110 (2)'!M12/(1+Korting!$B$3)*(1-Korting!$B$2)*Prijsmutaties!$B$9))</f>
        <v>1760.7309027799906</v>
      </c>
      <c r="N12" s="20">
        <f>(('Zip 110 (2)'!N12/(1+Korting!$B$3)*(1-Korting!$B$2)*Prijsmutaties!$B$9))</f>
        <v>1772.631506264536</v>
      </c>
      <c r="O12" s="20">
        <f>(('Zip 110 (2)'!O12/(1+Korting!$B$3)*(1-Korting!$B$2)*Prijsmutaties!$B$9))</f>
        <v>1827.5573685008997</v>
      </c>
      <c r="P12" s="20">
        <f>(('Zip 110 (2)'!P12/(1+Korting!$B$3)*(1-Korting!$B$2)*Prijsmutaties!$B$9))</f>
        <v>1898.0455583708997</v>
      </c>
      <c r="Q12" s="20">
        <f>(('Zip 110 (2)'!Q12/(1+Korting!$B$3)*(1-Korting!$B$2)*Prijsmutaties!$B$9))</f>
        <v>1932.8319377872631</v>
      </c>
      <c r="R12" s="20">
        <f>(('Zip 110 (2)'!R12/(1+Korting!$B$3)*(1-Korting!$B$2)*Prijsmutaties!$B$9))</f>
        <v>1966.7028861663541</v>
      </c>
      <c r="S12" s="20">
        <f>(('Zip 110 (2)'!S12/(1+Korting!$B$3)*(1-Korting!$B$2)*Prijsmutaties!$B$9))</f>
        <v>1999.6584035081726</v>
      </c>
      <c r="T12" s="235">
        <f>(('Zip 110 (2)'!T12/(1+Korting!$B$3)*(1-Korting!$B$2)*Prijsmutaties!$B$9))</f>
        <v>2031.6984898127178</v>
      </c>
      <c r="U12" s="20">
        <f>(('Zip 110 (2)'!U12/(1+Korting!$B$3)*(1-Korting!$B$2)*Prijsmutaties!$B$9))</f>
        <v>2082.0471968627176</v>
      </c>
      <c r="V12" s="235">
        <f>(('Zip 110 (2)'!V12/(1+Korting!$B$3)*(1-Korting!$B$2)*Prijsmutaties!$B$9))</f>
        <v>2132.3959039127176</v>
      </c>
      <c r="W12" s="20">
        <f>(('Zip 110 (2)'!W12/(1+Korting!$B$3)*(1-Korting!$B$2)*Prijsmutaties!$B$9))</f>
        <v>2182.7446109627176</v>
      </c>
    </row>
    <row r="13" spans="1:23" ht="19.5" customHeight="1">
      <c r="A13" s="625"/>
      <c r="B13" s="533"/>
      <c r="C13" s="533"/>
      <c r="D13" s="533"/>
      <c r="E13" s="533"/>
      <c r="F13" s="533"/>
      <c r="G13" s="533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</row>
    <row r="14" spans="1:23" ht="19.5" customHeight="1">
      <c r="A14" s="625"/>
      <c r="B14" s="104"/>
      <c r="C14" s="534" t="s">
        <v>3</v>
      </c>
      <c r="D14" s="535"/>
      <c r="E14" s="535"/>
      <c r="F14" s="535"/>
      <c r="G14" s="536"/>
      <c r="H14" s="104"/>
      <c r="I14" s="104"/>
      <c r="J14" s="104"/>
      <c r="K14" s="104"/>
      <c r="L14" s="156"/>
      <c r="M14" s="104"/>
      <c r="N14" s="104"/>
      <c r="O14" s="104"/>
      <c r="P14" s="104"/>
      <c r="Q14" s="104"/>
      <c r="R14" s="104"/>
      <c r="S14" s="104"/>
      <c r="T14" s="156"/>
      <c r="U14" s="104"/>
      <c r="V14" s="156"/>
      <c r="W14" s="104"/>
    </row>
    <row r="15" spans="1:23" ht="18.95" customHeight="1">
      <c r="A15" s="625"/>
      <c r="B15" s="105" t="s">
        <v>4</v>
      </c>
      <c r="C15" s="13">
        <v>100</v>
      </c>
      <c r="D15" s="13">
        <v>120</v>
      </c>
      <c r="E15" s="13">
        <v>140</v>
      </c>
      <c r="F15" s="13">
        <v>160</v>
      </c>
      <c r="G15" s="13">
        <v>180</v>
      </c>
      <c r="H15" s="13">
        <v>200</v>
      </c>
      <c r="I15" s="13">
        <v>220</v>
      </c>
      <c r="J15" s="13">
        <v>240</v>
      </c>
      <c r="K15" s="13">
        <v>260</v>
      </c>
      <c r="L15" s="194">
        <v>280</v>
      </c>
      <c r="M15" s="13">
        <v>300</v>
      </c>
      <c r="N15" s="13">
        <v>320</v>
      </c>
      <c r="O15" s="13">
        <v>340</v>
      </c>
      <c r="P15" s="13">
        <v>360</v>
      </c>
      <c r="Q15" s="13">
        <v>380</v>
      </c>
      <c r="R15" s="13">
        <v>400</v>
      </c>
      <c r="S15" s="13">
        <v>420</v>
      </c>
      <c r="T15" s="194">
        <v>440</v>
      </c>
      <c r="U15" s="13">
        <v>460</v>
      </c>
      <c r="V15" s="194">
        <v>480</v>
      </c>
      <c r="W15" s="13">
        <v>500</v>
      </c>
    </row>
    <row r="16" spans="1:23" ht="18.95" customHeight="1">
      <c r="A16" s="625"/>
      <c r="B16" s="165" t="s">
        <v>5</v>
      </c>
      <c r="C16" s="15">
        <f>(('Zip 110 (2)'!C16/(1+Korting!$B$3)*(1-Korting!$B$2)*Prijsmutaties!$B$9))</f>
        <v>198.64853508818177</v>
      </c>
      <c r="D16" s="15">
        <f>(('Zip 110 (2)'!D16/(1+Korting!$B$3)*(1-Korting!$B$2)*Prijsmutaties!$B$9))</f>
        <v>198.64853508818177</v>
      </c>
      <c r="E16" s="15">
        <f>(('Zip 110 (2)'!E16/(1+Korting!$B$3)*(1-Korting!$B$2)*Prijsmutaties!$B$9))</f>
        <v>198.64853508818177</v>
      </c>
      <c r="F16" s="15">
        <f>(('Zip 110 (2)'!F16/(1+Korting!$B$3)*(1-Korting!$B$2)*Prijsmutaties!$B$9))</f>
        <v>198.64853508818177</v>
      </c>
      <c r="G16" s="15">
        <f>(('Zip 110 (2)'!G16/(1+Korting!$B$3)*(1-Korting!$B$2)*Prijsmutaties!$B$9))</f>
        <v>198.64853508818177</v>
      </c>
      <c r="H16" s="15">
        <f>(('Zip 110 (2)'!H16/(1+Korting!$B$3)*(1-Korting!$B$2)*Prijsmutaties!$B$9))</f>
        <v>255.40525939909082</v>
      </c>
      <c r="I16" s="15">
        <f>(('Zip 110 (2)'!I16/(1+Korting!$B$3)*(1-Korting!$B$2)*Prijsmutaties!$B$9))</f>
        <v>255.40525939909082</v>
      </c>
      <c r="J16" s="15">
        <f>(('Zip 110 (2)'!J16/(1+Korting!$B$3)*(1-Korting!$B$2)*Prijsmutaties!$B$9))</f>
        <v>255.40525939909082</v>
      </c>
      <c r="K16" s="15">
        <f>(('Zip 110 (2)'!K16/(1+Korting!$B$3)*(1-Korting!$B$2)*Prijsmutaties!$B$9))</f>
        <v>255.40525939909082</v>
      </c>
      <c r="L16" s="190">
        <f>(('Zip 110 (2)'!L16/(1+Korting!$B$3)*(1-Korting!$B$2)*Prijsmutaties!$B$9))</f>
        <v>255.40525939909082</v>
      </c>
      <c r="M16" s="15">
        <f>(('Zip 110 (2)'!M16/(1+Korting!$B$3)*(1-Korting!$B$2)*Prijsmutaties!$B$9))</f>
        <v>311.2465526727272</v>
      </c>
      <c r="N16" s="15">
        <f>(('Zip 110 (2)'!N16/(1+Korting!$B$3)*(1-Korting!$B$2)*Prijsmutaties!$B$9))</f>
        <v>311.2465526727272</v>
      </c>
      <c r="O16" s="15">
        <f>(('Zip 110 (2)'!O16/(1+Korting!$B$3)*(1-Korting!$B$2)*Prijsmutaties!$B$9))</f>
        <v>311.2465526727272</v>
      </c>
      <c r="P16" s="15">
        <f>(('Zip 110 (2)'!P16/(1+Korting!$B$3)*(1-Korting!$B$2)*Prijsmutaties!$B$9))</f>
        <v>311.2465526727272</v>
      </c>
      <c r="Q16" s="15">
        <f>(('Zip 110 (2)'!Q16/(1+Korting!$B$3)*(1-Korting!$B$2)*Prijsmutaties!$B$9))</f>
        <v>311.2465526727272</v>
      </c>
      <c r="R16" s="15">
        <f>(('Zip 110 (2)'!R16/(1+Korting!$B$3)*(1-Korting!$B$2)*Prijsmutaties!$B$9))</f>
        <v>368.00327698363628</v>
      </c>
      <c r="S16" s="15">
        <f>(('Zip 110 (2)'!S16/(1+Korting!$B$3)*(1-Korting!$B$2)*Prijsmutaties!$B$9))</f>
        <v>368.00327698363628</v>
      </c>
      <c r="T16" s="190">
        <f>(('Zip 110 (2)'!T16/(1+Korting!$B$3)*(1-Korting!$B$2)*Prijsmutaties!$B$9))</f>
        <v>368.00327698363628</v>
      </c>
      <c r="U16" s="15">
        <f>(('Zip 110 (2)'!U16/(1+Korting!$B$3)*(1-Korting!$B$2)*Prijsmutaties!$B$9))</f>
        <v>416.52112195909086</v>
      </c>
      <c r="V16" s="190">
        <f>(('Zip 110 (2)'!V16/(1+Korting!$B$3)*(1-Korting!$B$2)*Prijsmutaties!$B$9))</f>
        <v>416.52112195909086</v>
      </c>
      <c r="W16" s="15">
        <f>(('Zip 110 (2)'!W16/(1+Korting!$B$3)*(1-Korting!$B$2)*Prijsmutaties!$B$9))</f>
        <v>473.27784626999988</v>
      </c>
    </row>
    <row r="17" spans="1:23" ht="19.7" customHeight="1">
      <c r="A17" s="625"/>
      <c r="B17" s="106" t="s">
        <v>6</v>
      </c>
      <c r="C17" s="10">
        <f>(('Zip 110 (2)'!C17/(1+Korting!$B$3)*(1-Korting!$B$2)*Prijsmutaties!$B$9))</f>
        <v>99.324267544090887</v>
      </c>
      <c r="D17" s="10">
        <f>(('Zip 110 (2)'!D17/(1+Korting!$B$3)*(1-Korting!$B$2)*Prijsmutaties!$B$9))</f>
        <v>99.324267544090887</v>
      </c>
      <c r="E17" s="10">
        <f>(('Zip 110 (2)'!E17/(1+Korting!$B$3)*(1-Korting!$B$2)*Prijsmutaties!$B$9))</f>
        <v>99.324267544090887</v>
      </c>
      <c r="F17" s="10">
        <f>(('Zip 110 (2)'!F17/(1+Korting!$B$3)*(1-Korting!$B$2)*Prijsmutaties!$B$9))</f>
        <v>99.324267544090887</v>
      </c>
      <c r="G17" s="10">
        <f>(('Zip 110 (2)'!G17/(1+Korting!$B$3)*(1-Korting!$B$2)*Prijsmutaties!$B$9))</f>
        <v>99.324267544090887</v>
      </c>
      <c r="H17" s="10">
        <f>(('Zip 110 (2)'!H17/(1+Korting!$B$3)*(1-Korting!$B$2)*Prijsmutaties!$B$9))</f>
        <v>127.70262969954541</v>
      </c>
      <c r="I17" s="10">
        <f>(('Zip 110 (2)'!I17/(1+Korting!$B$3)*(1-Korting!$B$2)*Prijsmutaties!$B$9))</f>
        <v>127.70262969954541</v>
      </c>
      <c r="J17" s="10">
        <f>(('Zip 110 (2)'!J17/(1+Korting!$B$3)*(1-Korting!$B$2)*Prijsmutaties!$B$9))</f>
        <v>127.70262969954541</v>
      </c>
      <c r="K17" s="10">
        <f>(('Zip 110 (2)'!K17/(1+Korting!$B$3)*(1-Korting!$B$2)*Prijsmutaties!$B$9))</f>
        <v>127.70262969954541</v>
      </c>
      <c r="L17" s="189">
        <f>(('Zip 110 (2)'!L17/(1+Korting!$B$3)*(1-Korting!$B$2)*Prijsmutaties!$B$9))</f>
        <v>127.70262969954541</v>
      </c>
      <c r="M17" s="10">
        <f>(('Zip 110 (2)'!M17/(1+Korting!$B$3)*(1-Korting!$B$2)*Prijsmutaties!$B$9))</f>
        <v>155.6232763363636</v>
      </c>
      <c r="N17" s="10">
        <f>(('Zip 110 (2)'!N17/(1+Korting!$B$3)*(1-Korting!$B$2)*Prijsmutaties!$B$9))</f>
        <v>155.6232763363636</v>
      </c>
      <c r="O17" s="10">
        <f>(('Zip 110 (2)'!O17/(1+Korting!$B$3)*(1-Korting!$B$2)*Prijsmutaties!$B$9))</f>
        <v>155.6232763363636</v>
      </c>
      <c r="P17" s="10">
        <f>(('Zip 110 (2)'!P17/(1+Korting!$B$3)*(1-Korting!$B$2)*Prijsmutaties!$B$9))</f>
        <v>155.6232763363636</v>
      </c>
      <c r="Q17" s="10">
        <f>(('Zip 110 (2)'!Q17/(1+Korting!$B$3)*(1-Korting!$B$2)*Prijsmutaties!$B$9))</f>
        <v>155.6232763363636</v>
      </c>
      <c r="R17" s="10">
        <f>(('Zip 110 (2)'!R17/(1+Korting!$B$3)*(1-Korting!$B$2)*Prijsmutaties!$B$9))</f>
        <v>184.00163849181814</v>
      </c>
      <c r="S17" s="10">
        <f>(('Zip 110 (2)'!S17/(1+Korting!$B$3)*(1-Korting!$B$2)*Prijsmutaties!$B$9))</f>
        <v>184.00163849181814</v>
      </c>
      <c r="T17" s="189">
        <f>(('Zip 110 (2)'!T17/(1+Korting!$B$3)*(1-Korting!$B$2)*Prijsmutaties!$B$9))</f>
        <v>184.00163849181814</v>
      </c>
      <c r="U17" s="10">
        <f>(('Zip 110 (2)'!U17/(1+Korting!$B$3)*(1-Korting!$B$2)*Prijsmutaties!$B$9))</f>
        <v>208.26056097954543</v>
      </c>
      <c r="V17" s="189">
        <f>(('Zip 110 (2)'!V17/(1+Korting!$B$3)*(1-Korting!$B$2)*Prijsmutaties!$B$9))</f>
        <v>208.26056097954543</v>
      </c>
      <c r="W17" s="10">
        <f>(('Zip 110 (2)'!W17/(1+Korting!$B$3)*(1-Korting!$B$2)*Prijsmutaties!$B$9))</f>
        <v>236.63892313499994</v>
      </c>
    </row>
    <row r="18" spans="1:23" ht="20.8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23" ht="16.5" customHeight="1">
      <c r="A19" s="571" t="s">
        <v>7</v>
      </c>
      <c r="B19" s="571"/>
      <c r="C19" s="571"/>
      <c r="D19" s="571"/>
      <c r="E19" s="571"/>
      <c r="F19" s="571"/>
      <c r="G19" s="571"/>
      <c r="H19" s="571"/>
      <c r="I19" s="571"/>
      <c r="J19" s="571"/>
      <c r="K19" s="571"/>
      <c r="L19" s="166"/>
      <c r="M19" s="166"/>
      <c r="N19" s="166"/>
      <c r="O19" s="166"/>
      <c r="P19" s="166"/>
      <c r="Q19" s="166"/>
      <c r="R19" s="2"/>
    </row>
    <row r="20" spans="1:23" ht="16.5" customHeight="1">
      <c r="A20" s="626" t="s">
        <v>423</v>
      </c>
      <c r="B20" s="627"/>
      <c r="C20" s="627"/>
      <c r="D20" s="627"/>
      <c r="E20" s="627"/>
      <c r="F20" s="627"/>
      <c r="G20" s="627"/>
      <c r="H20" s="627"/>
      <c r="I20" s="628"/>
      <c r="J20" s="550">
        <f>(('Zip 110 (2)'!J20/(1+Korting!$B$3)*(1-Korting!$B$2)*Prijsmutaties!$G$9))</f>
        <v>143.31471570247933</v>
      </c>
      <c r="K20" s="551">
        <f>(('Zip 110 (2)'!K20/(1+Korting!$B$3)*(1-Korting!$B$2)))</f>
        <v>0</v>
      </c>
      <c r="L20" s="166"/>
      <c r="M20" s="166"/>
      <c r="N20" s="166"/>
      <c r="O20" s="166"/>
      <c r="P20" s="166"/>
      <c r="Q20" s="166"/>
      <c r="R20" s="2"/>
    </row>
    <row r="21" spans="1:23" ht="18" customHeight="1">
      <c r="A21" s="605" t="s">
        <v>480</v>
      </c>
      <c r="B21" s="540"/>
      <c r="C21" s="540"/>
      <c r="D21" s="540"/>
      <c r="E21" s="540"/>
      <c r="F21" s="540"/>
      <c r="G21" s="540"/>
      <c r="H21" s="540"/>
      <c r="I21" s="541"/>
      <c r="J21" s="552">
        <f>(('Zip 110 (2)'!J21/(1+Korting!$B$3)*(1-Korting!$B$2)*Prijsmutaties!$G$9))</f>
        <v>111.76745123966941</v>
      </c>
      <c r="K21" s="553">
        <f>(('Zip 110 (2)'!K21/(1+Korting!$B$3)*(1-Korting!$B$2)))</f>
        <v>0</v>
      </c>
      <c r="L21" s="167"/>
      <c r="M21" s="167"/>
      <c r="N21" s="167"/>
      <c r="O21" s="167"/>
      <c r="P21" s="168"/>
      <c r="Q21" s="168"/>
      <c r="R21" s="2"/>
    </row>
    <row r="22" spans="1:23" ht="18" customHeight="1">
      <c r="A22" s="626" t="s">
        <v>305</v>
      </c>
      <c r="B22" s="627"/>
      <c r="C22" s="627"/>
      <c r="D22" s="627"/>
      <c r="E22" s="627"/>
      <c r="F22" s="627"/>
      <c r="G22" s="627"/>
      <c r="H22" s="627"/>
      <c r="I22" s="628"/>
      <c r="J22" s="550">
        <f>(('Zip 110 (2)'!J23/(1+Korting!$B$3)*(1-Korting!$B$2)*Prijsmutaties!$G$9))</f>
        <v>63.094528925619827</v>
      </c>
      <c r="K22" s="551">
        <f>(('Zip 110 (2)'!K23/(1+Korting!$B$3)*(1-Korting!$B$2)))</f>
        <v>0</v>
      </c>
      <c r="L22" s="167"/>
      <c r="M22" s="167"/>
      <c r="N22" s="167"/>
      <c r="O22" s="167"/>
      <c r="P22" s="168"/>
      <c r="Q22" s="168"/>
      <c r="R22" s="2"/>
    </row>
    <row r="23" spans="1:23" ht="18" customHeight="1">
      <c r="A23" s="605" t="s">
        <v>479</v>
      </c>
      <c r="B23" s="540"/>
      <c r="C23" s="540"/>
      <c r="D23" s="540"/>
      <c r="E23" s="540"/>
      <c r="F23" s="540"/>
      <c r="G23" s="540"/>
      <c r="H23" s="540"/>
      <c r="I23" s="541"/>
      <c r="J23" s="552">
        <f>(('Zip 110 (2)'!J24/(1+Korting!$B$3)*(1-Korting!$B$2)*Prijsmutaties!$G$9))</f>
        <v>17.125657851239669</v>
      </c>
      <c r="K23" s="553">
        <f>(('Zip 110 (2)'!K24/(1+Korting!$B$3)*(1-Korting!$B$2)))</f>
        <v>0</v>
      </c>
      <c r="L23" s="167"/>
      <c r="M23" s="167"/>
      <c r="N23" s="167"/>
      <c r="O23" s="167"/>
      <c r="P23" s="168"/>
      <c r="Q23" s="168"/>
      <c r="R23" s="2"/>
    </row>
    <row r="24" spans="1:23" ht="18" customHeight="1">
      <c r="A24" s="626" t="s">
        <v>301</v>
      </c>
      <c r="B24" s="627"/>
      <c r="C24" s="627"/>
      <c r="D24" s="627"/>
      <c r="E24" s="627"/>
      <c r="F24" s="627"/>
      <c r="G24" s="627"/>
      <c r="H24" s="627"/>
      <c r="I24" s="628"/>
      <c r="J24" s="550">
        <f>(('Zip 110 (2)'!J25/(1+Korting!$B$3)*(1-Korting!$B$2)*Prijsmutaties!$G$9))</f>
        <v>-73.910733884297514</v>
      </c>
      <c r="K24" s="551">
        <f>(('Zip 110 (2)'!K25/(1+Korting!$B$3)*(1-Korting!$B$2)))</f>
        <v>0</v>
      </c>
      <c r="L24" s="167"/>
      <c r="M24" s="167"/>
      <c r="N24" s="167"/>
      <c r="O24" s="167"/>
      <c r="P24" s="169"/>
      <c r="Q24" s="169"/>
      <c r="R24" s="2"/>
    </row>
    <row r="25" spans="1:23" ht="18.95" customHeight="1">
      <c r="A25" s="605" t="s">
        <v>32</v>
      </c>
      <c r="B25" s="540"/>
      <c r="C25" s="540"/>
      <c r="D25" s="540"/>
      <c r="E25" s="540"/>
      <c r="F25" s="540"/>
      <c r="G25" s="540"/>
      <c r="H25" s="540"/>
      <c r="I25" s="541"/>
      <c r="J25" s="552">
        <f>(('Zip 110 (2)'!J26/(1+Korting!$B$3)*(1-Korting!$B$2)*Prijsmutaties!$G$9))</f>
        <v>14.421606611570247</v>
      </c>
      <c r="K25" s="553">
        <f>(('Zip 110 (2)'!K26/(1+Korting!$B$3)*(1-Korting!$B$2)))</f>
        <v>0</v>
      </c>
      <c r="L25" s="167"/>
      <c r="M25" s="167"/>
      <c r="N25" s="167"/>
      <c r="O25" s="167"/>
      <c r="P25" s="168"/>
      <c r="Q25" s="168"/>
      <c r="R25" s="2"/>
    </row>
    <row r="26" spans="1:23" ht="18.2" customHeight="1">
      <c r="A26" s="626" t="s">
        <v>24</v>
      </c>
      <c r="B26" s="627"/>
      <c r="C26" s="627"/>
      <c r="D26" s="627"/>
      <c r="E26" s="627"/>
      <c r="F26" s="627"/>
      <c r="G26" s="627"/>
      <c r="H26" s="627"/>
      <c r="I26" s="628"/>
      <c r="J26" s="550">
        <f>(('Zip 110 (2)'!J27/(1+Korting!$B$3)*(1-Korting!$B$2)*Prijsmutaties!$G$9))</f>
        <v>12.618905785123966</v>
      </c>
      <c r="K26" s="551">
        <f>(('Zip 110 (2)'!K27/(1+Korting!$B$3)*(1-Korting!$B$2)))</f>
        <v>0</v>
      </c>
      <c r="L26" s="167"/>
      <c r="M26" s="167"/>
      <c r="N26" s="167"/>
      <c r="O26" s="167"/>
      <c r="P26" s="168"/>
      <c r="Q26" s="168"/>
      <c r="R26" s="2"/>
    </row>
    <row r="27" spans="1:23" ht="16.5" customHeight="1">
      <c r="A27" s="605" t="s">
        <v>303</v>
      </c>
      <c r="B27" s="540"/>
      <c r="C27" s="540"/>
      <c r="D27" s="540"/>
      <c r="E27" s="540"/>
      <c r="F27" s="540"/>
      <c r="G27" s="540"/>
      <c r="H27" s="540"/>
      <c r="I27" s="541"/>
      <c r="J27" s="552">
        <f>(('Zip 110 (2)'!J28/(1+Korting!$B$3)*(1-Korting!$B$2)*Prijsmutaties!$G$9))</f>
        <v>5.4081024793388428</v>
      </c>
      <c r="K27" s="553">
        <f>(('Zip 110 (2)'!K28/(1+Korting!$B$3)*(1-Korting!$B$2)))</f>
        <v>0</v>
      </c>
    </row>
    <row r="29" spans="1:23" ht="16.5">
      <c r="A29" s="489" t="s">
        <v>422</v>
      </c>
      <c r="B29" s="489"/>
      <c r="C29" s="489"/>
      <c r="D29" s="489"/>
      <c r="E29" s="489"/>
      <c r="F29" s="489"/>
      <c r="G29" s="489"/>
      <c r="H29" s="489"/>
      <c r="I29" s="489"/>
    </row>
  </sheetData>
  <sheetProtection algorithmName="SHA-512" hashValue="CCkVzDDFvKecvs4eNfotAzvPPhfRZ2S0qGC4Sm3VrHlwX14sBfBXWuK5YKT3y2yUgl1AyQqpaHGwr/lljA/+XQ==" saltValue="63iUue2FK4+NGz++eGyufw==" spinCount="100000" sheet="1" objects="1" scenarios="1"/>
  <mergeCells count="21">
    <mergeCell ref="A20:I20"/>
    <mergeCell ref="J20:K20"/>
    <mergeCell ref="A1:P1"/>
    <mergeCell ref="A2:A17"/>
    <mergeCell ref="B13:G13"/>
    <mergeCell ref="C14:G14"/>
    <mergeCell ref="A19:K19"/>
    <mergeCell ref="A21:I21"/>
    <mergeCell ref="J21:K21"/>
    <mergeCell ref="A22:I22"/>
    <mergeCell ref="J22:K22"/>
    <mergeCell ref="A23:I23"/>
    <mergeCell ref="J23:K23"/>
    <mergeCell ref="A24:I24"/>
    <mergeCell ref="J24:K24"/>
    <mergeCell ref="A27:I27"/>
    <mergeCell ref="J27:K27"/>
    <mergeCell ref="A25:I25"/>
    <mergeCell ref="J25:K25"/>
    <mergeCell ref="A26:I26"/>
    <mergeCell ref="J26:K26"/>
  </mergeCells>
  <pageMargins left="0.70866141732283472" right="0.70866141732283472" top="0.74803149606299213" bottom="0.74803149606299213" header="0.31496062992125984" footer="0.31496062992125984"/>
  <pageSetup paperSize="9" scale="67" orientation="portrait" r:id="rId1"/>
  <headerFooter>
    <oddFooter>&amp;L&amp;D&amp;C&amp;F
Tabblad &amp;A&amp;RInkoopprijslijst excl. BTW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5078-59AB-4E19-9EA7-22FD91E362F2}">
  <sheetPr codeName="Blad12">
    <tabColor rgb="FF92D050"/>
    <pageSetUpPr fitToPage="1"/>
  </sheetPr>
  <dimension ref="A1:O20"/>
  <sheetViews>
    <sheetView zoomScaleNormal="100" workbookViewId="0">
      <selection sqref="A1:O1"/>
    </sheetView>
  </sheetViews>
  <sheetFormatPr defaultRowHeight="12.75"/>
  <cols>
    <col min="1" max="1" width="7.33203125" customWidth="1"/>
    <col min="2" max="2" width="7.5" customWidth="1"/>
    <col min="3" max="11" width="6.83203125" customWidth="1"/>
  </cols>
  <sheetData>
    <row r="1" spans="1:15" ht="61.5" customHeight="1">
      <c r="A1" s="623" t="s">
        <v>376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  <c r="L1" s="624"/>
      <c r="M1" s="624"/>
      <c r="N1" s="624"/>
      <c r="O1" s="624"/>
    </row>
    <row r="2" spans="1:15" ht="20.100000000000001" customHeight="1">
      <c r="A2" s="625" t="s">
        <v>25</v>
      </c>
      <c r="B2" s="80" t="s">
        <v>26</v>
      </c>
      <c r="C2" s="5">
        <v>200</v>
      </c>
      <c r="D2" s="5">
        <v>250</v>
      </c>
      <c r="E2" s="5">
        <v>300</v>
      </c>
      <c r="F2" s="5">
        <v>350</v>
      </c>
      <c r="G2" s="5">
        <v>400</v>
      </c>
      <c r="H2" s="5">
        <v>450</v>
      </c>
      <c r="I2" s="5">
        <v>500</v>
      </c>
      <c r="J2" s="5">
        <v>550</v>
      </c>
      <c r="K2" s="5">
        <v>600</v>
      </c>
    </row>
    <row r="3" spans="1:15" ht="18.95" customHeight="1">
      <c r="A3" s="625"/>
      <c r="B3" s="13">
        <v>200</v>
      </c>
      <c r="C3" s="10">
        <f>(('Zip 110 (2)'!AC3/(1+Korting!$B$3)*(1-Korting!$B$2)*Prijsmutaties!$B$9))</f>
        <v>1308.8208948916492</v>
      </c>
      <c r="D3" s="10">
        <f>(('Zip 110 (2)'!AD3/(1+Korting!$B$3)*(1-Korting!$B$2)*Prijsmutaties!$B$9))</f>
        <v>1461.0936859870767</v>
      </c>
      <c r="E3" s="10">
        <f>(('Zip 110 (2)'!AE3/(1+Korting!$B$3)*(1-Korting!$B$2)*Prijsmutaties!$B$9))</f>
        <v>1542.6683955024841</v>
      </c>
      <c r="F3" s="10">
        <f>(('Zip 110 (2)'!AF3/(1+Korting!$B$3)*(1-Korting!$B$2)*Prijsmutaties!$B$9))</f>
        <v>1710.3497428397109</v>
      </c>
      <c r="G3" s="10">
        <f>(('Zip 110 (2)'!AG3/(1+Korting!$B$3)*(1-Korting!$B$2)*Prijsmutaties!$B$9))</f>
        <v>1791.9244523551183</v>
      </c>
      <c r="H3" s="10">
        <f>(('Zip 110 (2)'!AH3/(1+Korting!$B$3)*(1-Korting!$B$2)*Prijsmutaties!$B$9))</f>
        <v>1898.8374062181404</v>
      </c>
      <c r="I3" s="10">
        <f>(('Zip 110 (2)'!AI3/(1+Korting!$B$3)*(1-Korting!$B$2)*Prijsmutaties!$B$9))</f>
        <v>2016.7080963531303</v>
      </c>
      <c r="J3" s="10">
        <f>(('Zip 110 (2)'!AJ3/(1+Korting!$B$3)*(1-Korting!$B$2)*Prijsmutaties!$B$9))</f>
        <v>2251.4619826252474</v>
      </c>
      <c r="K3" s="10">
        <f>(('Zip 110 (2)'!AK3/(1+Korting!$B$3)*(1-Korting!$B$2)*Prijsmutaties!$B$9))</f>
        <v>2251.4619826252474</v>
      </c>
    </row>
    <row r="4" spans="1:15" ht="18.95" customHeight="1">
      <c r="A4" s="625"/>
      <c r="B4" s="5">
        <v>250</v>
      </c>
      <c r="C4" s="459">
        <f>(('Zip 110 (2)'!AC4/(1+Korting!$B$3)*(1-Korting!$B$2)*Prijsmutaties!$B$9))</f>
        <v>1394.0211470521861</v>
      </c>
      <c r="D4" s="459">
        <f>(('Zip 110 (2)'!AD4/(1+Korting!$B$3)*(1-Korting!$B$2)*Prijsmutaties!$B$9))</f>
        <v>1552.6386377765896</v>
      </c>
      <c r="E4" s="459">
        <f>(('Zip 110 (2)'!AE4/(1+Korting!$B$3)*(1-Korting!$B$2)*Prijsmutaties!$B$9))</f>
        <v>1668.6560024207247</v>
      </c>
      <c r="F4" s="459">
        <f>(('Zip 110 (2)'!AF4/(1+Korting!$B$3)*(1-Korting!$B$2)*Prijsmutaties!$B$9))</f>
        <v>1814.5840938871761</v>
      </c>
      <c r="G4" s="459">
        <f>(('Zip 110 (2)'!AG4/(1+Korting!$B$3)*(1-Korting!$B$2)*Prijsmutaties!$B$9))</f>
        <v>1900.6907317089949</v>
      </c>
      <c r="H4" s="459">
        <f>(('Zip 110 (2)'!AH4/(1+Korting!$B$3)*(1-Korting!$B$2)*Prijsmutaties!$B$9))</f>
        <v>2017.6144820144123</v>
      </c>
      <c r="I4" s="459">
        <f>(('Zip 110 (2)'!AI4/(1+Korting!$B$3)*(1-Korting!$B$2)*Prijsmutaties!$B$9))</f>
        <v>2135.4446179811125</v>
      </c>
      <c r="J4" s="459">
        <f>(('Zip 110 (2)'!AJ4/(1+Korting!$B$3)*(1-Korting!$B$2)*Prijsmutaties!$B$9))</f>
        <v>2370.1985042532297</v>
      </c>
      <c r="K4" s="459">
        <f>(('Zip 110 (2)'!AK4/(1+Korting!$B$3)*(1-Korting!$B$2)*Prijsmutaties!$B$9))</f>
        <v>2370.1985042532297</v>
      </c>
    </row>
    <row r="5" spans="1:15" ht="20.100000000000001" customHeight="1">
      <c r="A5" s="625"/>
      <c r="B5" s="13">
        <v>270</v>
      </c>
      <c r="C5" s="10">
        <f>(('Zip 110 (2)'!AC5/(1+Korting!$B$3)*(1-Korting!$B$2)*Prijsmutaties!$B$9))</f>
        <v>1564.4216513732599</v>
      </c>
      <c r="D5" s="10">
        <f>(('Zip 110 (2)'!AD5/(1+Korting!$B$3)*(1-Korting!$B$2)*Prijsmutaties!$B$9))</f>
        <v>1646.9027465499496</v>
      </c>
      <c r="E5" s="10">
        <f>(('Zip 110 (2)'!AE5/(1+Korting!$B$3)*(1-Korting!$B$2)*Prijsmutaties!$B$9))</f>
        <v>1788.2989097099892</v>
      </c>
      <c r="F5" s="10">
        <f>(('Zip 110 (2)'!AF5/(1+Korting!$B$3)*(1-Korting!$B$2)*Prijsmutaties!$B$9))</f>
        <v>1925.1631445636174</v>
      </c>
      <c r="G5" s="10">
        <f>(('Zip 110 (2)'!AG5/(1+Korting!$B$3)*(1-Korting!$B$2)*Prijsmutaties!$B$9))</f>
        <v>1994.0484548210725</v>
      </c>
      <c r="H5" s="10">
        <f>(('Zip 110 (2)'!AH5/(1+Korting!$B$3)*(1-Korting!$B$2)*Prijsmutaties!$B$9))</f>
        <v>2109.1594338039249</v>
      </c>
      <c r="I5" s="10">
        <f>(('Zip 110 (2)'!AI5/(1+Korting!$B$3)*(1-Korting!$B$2)*Prijsmutaties!$B$9))</f>
        <v>2226.9895697706252</v>
      </c>
      <c r="J5" s="10">
        <f>(('Zip 110 (2)'!AJ5/(1+Korting!$B$3)*(1-Korting!$B$2)*Prijsmutaties!$B$9))</f>
        <v>2461.7434560427423</v>
      </c>
      <c r="K5" s="10">
        <f>(('Zip 110 (2)'!AK5/(1+Korting!$B$3)*(1-Korting!$B$2)*Prijsmutaties!$B$9))</f>
        <v>2461.7434560427423</v>
      </c>
    </row>
    <row r="6" spans="1:15" ht="19.5" customHeight="1">
      <c r="A6" s="625"/>
      <c r="B6" s="533"/>
      <c r="C6" s="533"/>
      <c r="D6" s="533"/>
      <c r="E6" s="533"/>
      <c r="F6" s="533"/>
      <c r="G6" s="533"/>
      <c r="H6" s="158"/>
      <c r="I6" s="158"/>
      <c r="J6" s="158"/>
      <c r="K6" s="158"/>
    </row>
    <row r="7" spans="1:15" ht="19.5" customHeight="1">
      <c r="A7" s="625"/>
      <c r="B7" s="104"/>
      <c r="C7" s="534" t="s">
        <v>3</v>
      </c>
      <c r="D7" s="535"/>
      <c r="E7" s="535"/>
      <c r="F7" s="535"/>
      <c r="G7" s="536"/>
      <c r="H7" s="104"/>
      <c r="I7" s="104"/>
      <c r="J7" s="104"/>
      <c r="K7" s="104"/>
    </row>
    <row r="8" spans="1:15" ht="18.95" customHeight="1">
      <c r="A8" s="625"/>
      <c r="B8" s="105" t="s">
        <v>4</v>
      </c>
      <c r="C8" s="105">
        <v>200</v>
      </c>
      <c r="D8" s="105">
        <v>250</v>
      </c>
      <c r="E8" s="105">
        <v>300</v>
      </c>
      <c r="F8" s="105">
        <v>350</v>
      </c>
      <c r="G8" s="105">
        <v>400</v>
      </c>
      <c r="H8" s="105">
        <v>450</v>
      </c>
      <c r="I8" s="105">
        <v>500</v>
      </c>
      <c r="J8" s="105">
        <v>550</v>
      </c>
      <c r="K8" s="105">
        <v>600</v>
      </c>
    </row>
    <row r="9" spans="1:15" ht="18.95" customHeight="1">
      <c r="A9" s="625"/>
      <c r="B9" s="165" t="s">
        <v>5</v>
      </c>
      <c r="C9" s="15">
        <f>(('Zip 110 (2)'!AC9/(1+Korting!$B$3)*(1-Korting!$B$2)*Prijsmutaties!$B$9))</f>
        <v>255.93025909896676</v>
      </c>
      <c r="D9" s="15">
        <f>(('Zip 110 (2)'!AD9/(1+Korting!$B$3)*(1-Korting!$B$2)*Prijsmutaties!$B$9))</f>
        <v>255.93025909896676</v>
      </c>
      <c r="E9" s="15">
        <f>(('Zip 110 (2)'!AE9/(1+Korting!$B$3)*(1-Korting!$B$2)*Prijsmutaties!$B$9))</f>
        <v>312.74969043592898</v>
      </c>
      <c r="F9" s="15">
        <f>(('Zip 110 (2)'!AF9/(1+Korting!$B$3)*(1-Korting!$B$2)*Prijsmutaties!$B$9))</f>
        <v>312.74969043592898</v>
      </c>
      <c r="G9" s="15">
        <f>(('Zip 110 (2)'!AG9/(1+Korting!$B$3)*(1-Korting!$B$2)*Prijsmutaties!$B$9))</f>
        <v>369.08348560761812</v>
      </c>
      <c r="H9" s="15">
        <f>(('Zip 110 (2)'!AH9/(1+Korting!$B$3)*(1-Korting!$B$2)*Prijsmutaties!$B$9))</f>
        <v>417.64710213493623</v>
      </c>
      <c r="I9" s="15">
        <f>(('Zip 110 (2)'!AI9/(1+Korting!$B$3)*(1-Korting!$B$2)*Prijsmutaties!$B$9))</f>
        <v>473.27784626999988</v>
      </c>
      <c r="J9" s="15">
        <f>(('Zip 110 (2)'!AJ9/(1+Korting!$B$3)*(1-Korting!$B$2)*Prijsmutaties!$B$9))</f>
        <v>577.7331789279184</v>
      </c>
      <c r="K9" s="15">
        <f>(('Zip 110 (2)'!AK9/(1+Korting!$B$3)*(1-Korting!$B$2)*Prijsmutaties!$B$9))</f>
        <v>577.7331789279184</v>
      </c>
    </row>
    <row r="10" spans="1:15" ht="19.7" customHeight="1">
      <c r="A10" s="625"/>
      <c r="B10" s="106" t="s">
        <v>6</v>
      </c>
      <c r="C10" s="10">
        <f>(('Zip 110 (2)'!AC10/(1+Korting!$B$3)*(1-Korting!$B$2)*Prijsmutaties!$B$9))</f>
        <v>127.96512954948338</v>
      </c>
      <c r="D10" s="10">
        <f>(('Zip 110 (2)'!AD10/(1+Korting!$B$3)*(1-Korting!$B$2)*Prijsmutaties!$B$9))</f>
        <v>127.96512954948338</v>
      </c>
      <c r="E10" s="10">
        <f>(('Zip 110 (2)'!AE10/(1+Korting!$B$3)*(1-Korting!$B$2)*Prijsmutaties!$B$9))</f>
        <v>156.37484521796449</v>
      </c>
      <c r="F10" s="10">
        <f>(('Zip 110 (2)'!AF10/(1+Korting!$B$3)*(1-Korting!$B$2)*Prijsmutaties!$B$9))</f>
        <v>156.37484521796449</v>
      </c>
      <c r="G10" s="10">
        <f>(('Zip 110 (2)'!AG10/(1+Korting!$B$3)*(1-Korting!$B$2)*Prijsmutaties!$B$9))</f>
        <v>184.54174280380906</v>
      </c>
      <c r="H10" s="10">
        <f>(('Zip 110 (2)'!AH10/(1+Korting!$B$3)*(1-Korting!$B$2)*Prijsmutaties!$B$9))</f>
        <v>208.82355106746812</v>
      </c>
      <c r="I10" s="10">
        <f>(('Zip 110 (2)'!AI10/(1+Korting!$B$3)*(1-Korting!$B$2)*Prijsmutaties!$B$9))</f>
        <v>236.63892313499994</v>
      </c>
      <c r="J10" s="10">
        <f>(('Zip 110 (2)'!AJ10/(1+Korting!$B$3)*(1-Korting!$B$2)*Prijsmutaties!$B$9))</f>
        <v>288.8665894639592</v>
      </c>
      <c r="K10" s="10">
        <f>(('Zip 110 (2)'!AK10/(1+Korting!$B$3)*(1-Korting!$B$2)*Prijsmutaties!$B$9))</f>
        <v>288.8665894639592</v>
      </c>
    </row>
    <row r="11" spans="1:15" ht="20.8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5" ht="16.5" customHeight="1">
      <c r="A12" s="571" t="s">
        <v>7</v>
      </c>
      <c r="B12" s="571"/>
      <c r="C12" s="571"/>
      <c r="D12" s="571"/>
      <c r="E12" s="571"/>
      <c r="F12" s="571"/>
      <c r="G12" s="571"/>
      <c r="H12" s="571"/>
      <c r="I12" s="571"/>
      <c r="J12" s="571"/>
      <c r="K12" s="571"/>
    </row>
    <row r="13" spans="1:15" ht="16.5" customHeight="1">
      <c r="A13" s="626" t="s">
        <v>423</v>
      </c>
      <c r="B13" s="627"/>
      <c r="C13" s="627"/>
      <c r="D13" s="627"/>
      <c r="E13" s="627"/>
      <c r="F13" s="627"/>
      <c r="G13" s="627"/>
      <c r="H13" s="627"/>
      <c r="I13" s="628"/>
      <c r="J13" s="550">
        <f>(('Zip 110 (2)'!J20/(1+Korting!$B$3)*(1-Korting!$B$2)*Prijsmutaties!$G$9))</f>
        <v>143.31471570247933</v>
      </c>
      <c r="K13" s="551">
        <f>(('Zip 110 (2)'!K20/(1+Korting!$B$3)*(1-Korting!$B$2)))</f>
        <v>0</v>
      </c>
    </row>
    <row r="14" spans="1:15" ht="18" customHeight="1">
      <c r="A14" s="605" t="s">
        <v>373</v>
      </c>
      <c r="B14" s="540"/>
      <c r="C14" s="540"/>
      <c r="D14" s="540"/>
      <c r="E14" s="540"/>
      <c r="F14" s="540"/>
      <c r="G14" s="540"/>
      <c r="H14" s="540"/>
      <c r="I14" s="541"/>
      <c r="J14" s="552">
        <f>(('Zip 110 (2)'!J21/(1+Korting!$B$3)*(1-Korting!$B$2)*Prijsmutaties!$G$9))</f>
        <v>111.76745123966941</v>
      </c>
      <c r="K14" s="553">
        <f>(('Zip 110 (2)'!K21/(1+Korting!$B$3)*(1-Korting!$B$2)))</f>
        <v>0</v>
      </c>
    </row>
    <row r="15" spans="1:15" ht="18" customHeight="1">
      <c r="A15" s="542" t="s">
        <v>305</v>
      </c>
      <c r="B15" s="543"/>
      <c r="C15" s="543"/>
      <c r="D15" s="543"/>
      <c r="E15" s="543"/>
      <c r="F15" s="543"/>
      <c r="G15" s="543"/>
      <c r="H15" s="543"/>
      <c r="I15" s="544"/>
      <c r="J15" s="550">
        <f>(('Zip 110 (2)'!J23/(1+Korting!$B$3)*(1-Korting!$B$2)*Prijsmutaties!$G$9))</f>
        <v>63.094528925619827</v>
      </c>
      <c r="K15" s="551">
        <f>(('Zip 110 (2)'!K23/(1+Korting!$B$3)*(1-Korting!$B$2)))</f>
        <v>0</v>
      </c>
    </row>
    <row r="16" spans="1:15" ht="18" customHeight="1">
      <c r="A16" s="605" t="s">
        <v>479</v>
      </c>
      <c r="B16" s="619"/>
      <c r="C16" s="619"/>
      <c r="D16" s="619"/>
      <c r="E16" s="619"/>
      <c r="F16" s="619"/>
      <c r="G16" s="619"/>
      <c r="H16" s="619"/>
      <c r="I16" s="620"/>
      <c r="J16" s="552">
        <f>(('Zip 110 (2)'!J24/(1+Korting!$B$3)*(1-Korting!$B$2)*Prijsmutaties!$G$9))</f>
        <v>17.125657851239669</v>
      </c>
      <c r="K16" s="553">
        <f>(('Zip 110 (2)'!K24/(1+Korting!$B$3)*(1-Korting!$B$2)))</f>
        <v>0</v>
      </c>
    </row>
    <row r="17" spans="1:11" ht="18" customHeight="1">
      <c r="A17" s="629" t="s">
        <v>301</v>
      </c>
      <c r="B17" s="630"/>
      <c r="C17" s="630"/>
      <c r="D17" s="630"/>
      <c r="E17" s="630"/>
      <c r="F17" s="630"/>
      <c r="G17" s="630"/>
      <c r="H17" s="630"/>
      <c r="I17" s="631"/>
      <c r="J17" s="632">
        <f>(('Zip 110 (2)'!J25/(1+Korting!$B$3)*(1-Korting!$B$2)*Prijsmutaties!$G$9))</f>
        <v>-73.910733884297514</v>
      </c>
      <c r="K17" s="633">
        <f>(('Zip 110 (2)'!K25/(1+Korting!$B$3)*(1-Korting!$B$2)))</f>
        <v>0</v>
      </c>
    </row>
    <row r="20" spans="1:11" ht="16.5" customHeight="1">
      <c r="A20" s="489"/>
      <c r="B20" s="489"/>
      <c r="C20" s="489"/>
      <c r="D20" s="489"/>
      <c r="E20" s="489"/>
      <c r="F20" s="489"/>
      <c r="G20" s="489"/>
      <c r="H20" s="489"/>
      <c r="I20" s="489"/>
    </row>
  </sheetData>
  <sheetProtection algorithmName="SHA-512" hashValue="TbwQBNdG6hvQ2IdBuTNGA6iaBCzqU4TAdpxFsL5Av231QeZEr1Y1QL5UEblxk3aB3+Hp28AeosQgTwheVuGJcA==" saltValue="4b20IRLW+FC2u2B79M14Qg==" spinCount="100000" sheet="1" objects="1" scenarios="1"/>
  <mergeCells count="15">
    <mergeCell ref="A1:O1"/>
    <mergeCell ref="A16:I16"/>
    <mergeCell ref="J16:K16"/>
    <mergeCell ref="A2:A10"/>
    <mergeCell ref="B6:G6"/>
    <mergeCell ref="C7:G7"/>
    <mergeCell ref="A12:K12"/>
    <mergeCell ref="A13:I13"/>
    <mergeCell ref="J13:K13"/>
    <mergeCell ref="A17:I17"/>
    <mergeCell ref="J17:K17"/>
    <mergeCell ref="A15:I15"/>
    <mergeCell ref="J15:K15"/>
    <mergeCell ref="A14:I14"/>
    <mergeCell ref="J14:K14"/>
  </mergeCells>
  <pageMargins left="0.70866141732283472" right="0.70866141732283472" top="0.74803149606299213" bottom="0.74803149606299213" header="0.31496062992125984" footer="0.31496062992125984"/>
  <pageSetup paperSize="9" scale="67" orientation="portrait" r:id="rId1"/>
  <headerFooter>
    <oddFooter>&amp;L&amp;D&amp;C&amp;F
Tabblad &amp;A&amp;RInkoopprijslijst excl. BTW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9243-4206-465E-99B6-7B3BB4E5572F}">
  <sheetPr codeName="Blad11">
    <tabColor rgb="FF92D050"/>
  </sheetPr>
  <dimension ref="A1:X35"/>
  <sheetViews>
    <sheetView topLeftCell="A11" workbookViewId="0">
      <selection activeCell="K34" sqref="K34:L34"/>
    </sheetView>
  </sheetViews>
  <sheetFormatPr defaultRowHeight="12.75"/>
  <cols>
    <col min="1" max="1" width="8.6640625" customWidth="1"/>
    <col min="2" max="2" width="6.5" bestFit="1" customWidth="1"/>
    <col min="3" max="23" width="7.6640625" customWidth="1"/>
  </cols>
  <sheetData>
    <row r="1" spans="1:24" ht="30.75">
      <c r="A1" s="537" t="s">
        <v>33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158"/>
      <c r="T1" s="158"/>
      <c r="U1" s="158"/>
      <c r="V1" s="158"/>
      <c r="W1" s="158"/>
      <c r="X1" s="158"/>
    </row>
    <row r="2" spans="1:24" ht="20.100000000000001" customHeight="1">
      <c r="A2" s="638" t="s">
        <v>18</v>
      </c>
      <c r="B2" s="107" t="s">
        <v>34</v>
      </c>
      <c r="C2" s="5">
        <v>100</v>
      </c>
      <c r="D2" s="40">
        <v>120</v>
      </c>
      <c r="E2" s="5">
        <v>140</v>
      </c>
      <c r="F2" s="39">
        <v>160</v>
      </c>
      <c r="G2" s="5">
        <v>180</v>
      </c>
      <c r="H2" s="5">
        <v>200</v>
      </c>
      <c r="I2" s="40">
        <v>220</v>
      </c>
      <c r="J2" s="5">
        <v>240</v>
      </c>
      <c r="K2" s="5">
        <v>260</v>
      </c>
      <c r="L2" s="5">
        <v>280</v>
      </c>
      <c r="M2" s="159">
        <v>300</v>
      </c>
      <c r="N2" s="40">
        <v>320</v>
      </c>
      <c r="O2" s="5">
        <v>340</v>
      </c>
      <c r="P2" s="5">
        <v>360</v>
      </c>
      <c r="Q2" s="40">
        <v>380</v>
      </c>
      <c r="R2" s="39">
        <v>400</v>
      </c>
      <c r="S2" s="40">
        <v>420</v>
      </c>
      <c r="T2" s="5">
        <v>440</v>
      </c>
      <c r="U2" s="5">
        <v>460</v>
      </c>
      <c r="V2" s="159">
        <v>480</v>
      </c>
      <c r="W2" s="39">
        <v>500</v>
      </c>
      <c r="X2" s="158"/>
    </row>
    <row r="3" spans="1:24" ht="20.100000000000001" customHeight="1">
      <c r="A3" s="638"/>
      <c r="B3" s="13">
        <v>100</v>
      </c>
      <c r="C3" s="10">
        <v>921.77191328934975</v>
      </c>
      <c r="D3" s="42">
        <v>949.10461828463724</v>
      </c>
      <c r="E3" s="10">
        <v>984.91988689915183</v>
      </c>
      <c r="F3" s="41">
        <v>1013.1950989632422</v>
      </c>
      <c r="G3" s="10">
        <v>1050.8953817153629</v>
      </c>
      <c r="H3" s="10">
        <v>1080.1131008482564</v>
      </c>
      <c r="I3" s="42">
        <v>1109.3308199811499</v>
      </c>
      <c r="J3" s="10">
        <v>1147.0311027332705</v>
      </c>
      <c r="K3" s="10">
        <v>1176.248821866164</v>
      </c>
      <c r="L3" s="10">
        <v>1202.6390197926485</v>
      </c>
      <c r="M3" s="197">
        <v>1238.4542884071632</v>
      </c>
      <c r="N3" s="53">
        <v>1273.3270499528746</v>
      </c>
      <c r="O3" s="10">
        <v>1307.2573044297833</v>
      </c>
      <c r="P3" s="10">
        <v>1336.4750235626768</v>
      </c>
      <c r="Q3" s="53">
        <v>1369.4627709707825</v>
      </c>
      <c r="R3" s="81">
        <v>1398.6804901036758</v>
      </c>
      <c r="S3" s="53">
        <v>1483.5061262959473</v>
      </c>
      <c r="T3" s="10">
        <v>1498.5862393967955</v>
      </c>
      <c r="U3" s="10">
        <v>1507.0688030160227</v>
      </c>
      <c r="V3" s="197">
        <v>1519.321394910462</v>
      </c>
      <c r="W3" s="81">
        <v>1529.688972667295</v>
      </c>
      <c r="X3" s="158"/>
    </row>
    <row r="4" spans="1:24" ht="20.100000000000001" customHeight="1">
      <c r="A4" s="638"/>
      <c r="B4" s="5">
        <v>120</v>
      </c>
      <c r="C4" s="15">
        <v>957.58718190386435</v>
      </c>
      <c r="D4" s="45">
        <v>995.28746465598499</v>
      </c>
      <c r="E4" s="15">
        <v>1024.5051837888784</v>
      </c>
      <c r="F4" s="44">
        <v>1063.1479736098022</v>
      </c>
      <c r="G4" s="15">
        <v>1098.9632422243167</v>
      </c>
      <c r="H4" s="15">
        <v>1133.8360037700284</v>
      </c>
      <c r="I4" s="45">
        <v>1167.766258246937</v>
      </c>
      <c r="J4" s="15">
        <v>1200.7540056550424</v>
      </c>
      <c r="K4" s="15">
        <v>1238.4542884071632</v>
      </c>
      <c r="L4" s="15">
        <v>1273.3270499528746</v>
      </c>
      <c r="M4" s="170">
        <v>1309.1423185673893</v>
      </c>
      <c r="N4" s="52">
        <v>1340.2450518378889</v>
      </c>
      <c r="O4" s="15">
        <v>1373.2327992459943</v>
      </c>
      <c r="P4" s="15">
        <v>1412.8180961357211</v>
      </c>
      <c r="Q4" s="52">
        <v>1446.7483506126296</v>
      </c>
      <c r="R4" s="82">
        <v>1481.6211121583412</v>
      </c>
      <c r="S4" s="52">
        <v>1574.9293119698398</v>
      </c>
      <c r="T4" s="15">
        <v>1583.411875589067</v>
      </c>
      <c r="U4" s="15">
        <v>1600.3770028275212</v>
      </c>
      <c r="V4" s="170">
        <v>1612.6295947219605</v>
      </c>
      <c r="W4" s="82">
        <v>1624.8821866163996</v>
      </c>
      <c r="X4" s="158"/>
    </row>
    <row r="5" spans="1:24" ht="20.100000000000001" customHeight="1">
      <c r="A5" s="638"/>
      <c r="B5" s="13">
        <v>140</v>
      </c>
      <c r="C5" s="10">
        <v>992.45994344957592</v>
      </c>
      <c r="D5" s="42">
        <v>1032.0452403393026</v>
      </c>
      <c r="E5" s="10">
        <v>1071.6305372290292</v>
      </c>
      <c r="F5" s="41">
        <v>1109.3308199811499</v>
      </c>
      <c r="G5" s="10">
        <v>1147.0311027332705</v>
      </c>
      <c r="H5" s="10">
        <v>1183.7888784165882</v>
      </c>
      <c r="I5" s="53">
        <v>1228.0867106503299</v>
      </c>
      <c r="J5" s="10">
        <v>1265.7869934024507</v>
      </c>
      <c r="K5" s="10">
        <v>1296.88972667295</v>
      </c>
      <c r="L5" s="10">
        <v>1338.3600377002829</v>
      </c>
      <c r="M5" s="197">
        <v>1373.2327992459943</v>
      </c>
      <c r="N5" s="53">
        <v>1414.7031102733272</v>
      </c>
      <c r="O5" s="10">
        <v>1448.6333647502356</v>
      </c>
      <c r="P5" s="10">
        <v>1486.3336475023564</v>
      </c>
      <c r="Q5" s="53">
        <v>1527.803958529689</v>
      </c>
      <c r="R5" s="81">
        <v>1564.5617342130067</v>
      </c>
      <c r="S5" s="53">
        <v>1662.5824693685204</v>
      </c>
      <c r="T5" s="10">
        <v>1671.0650329877476</v>
      </c>
      <c r="U5" s="10">
        <v>1681.4326107445806</v>
      </c>
      <c r="V5" s="197">
        <v>1698.3977379830349</v>
      </c>
      <c r="W5" s="81">
        <v>1710.6503298774742</v>
      </c>
      <c r="X5" s="158"/>
    </row>
    <row r="6" spans="1:24" ht="20.100000000000001" customHeight="1">
      <c r="A6" s="638"/>
      <c r="B6" s="5">
        <v>160</v>
      </c>
      <c r="C6" s="15">
        <v>1030.1602262016966</v>
      </c>
      <c r="D6" s="45">
        <v>1073.5155513666352</v>
      </c>
      <c r="E6" s="15">
        <v>1117.8133836003772</v>
      </c>
      <c r="F6" s="44">
        <v>1152.6861451460886</v>
      </c>
      <c r="G6" s="15">
        <v>1195.0989632422243</v>
      </c>
      <c r="H6" s="15">
        <v>1231.856738925542</v>
      </c>
      <c r="I6" s="52">
        <v>1276.1545711592837</v>
      </c>
      <c r="J6" s="15">
        <v>1317.6248821866166</v>
      </c>
      <c r="K6" s="15">
        <v>1359.0951932139492</v>
      </c>
      <c r="L6" s="15">
        <v>1400.5655042412818</v>
      </c>
      <c r="M6" s="170">
        <v>1440.1508011310086</v>
      </c>
      <c r="N6" s="52">
        <v>1481.6211121583412</v>
      </c>
      <c r="O6" s="15">
        <v>1519.321394910462</v>
      </c>
      <c r="P6" s="15">
        <v>1562.6767200754007</v>
      </c>
      <c r="Q6" s="52">
        <v>1604.1470311027333</v>
      </c>
      <c r="R6" s="82">
        <v>1643.7323279924601</v>
      </c>
      <c r="S6" s="52">
        <v>1745.5230914231859</v>
      </c>
      <c r="T6" s="15">
        <v>1755.8906691800189</v>
      </c>
      <c r="U6" s="15">
        <v>1769.0857681432612</v>
      </c>
      <c r="V6" s="170">
        <v>1779.4533459000943</v>
      </c>
      <c r="W6" s="82">
        <v>1789.8209236569276</v>
      </c>
      <c r="X6" s="158"/>
    </row>
    <row r="7" spans="1:24" ht="20.100000000000001" customHeight="1">
      <c r="A7" s="638"/>
      <c r="B7" s="13">
        <v>180</v>
      </c>
      <c r="C7" s="10">
        <v>1076.3430725730443</v>
      </c>
      <c r="D7" s="42">
        <v>1115.9283694627711</v>
      </c>
      <c r="E7" s="10">
        <v>1159.2836946277098</v>
      </c>
      <c r="F7" s="41">
        <v>1202.6390197926485</v>
      </c>
      <c r="G7" s="10">
        <v>1244.1093308199813</v>
      </c>
      <c r="H7" s="10">
        <v>1288.407163053723</v>
      </c>
      <c r="I7" s="53">
        <v>1336.4750235626768</v>
      </c>
      <c r="J7" s="10">
        <v>1377.9453345900095</v>
      </c>
      <c r="K7" s="10">
        <v>1417.5306314797363</v>
      </c>
      <c r="L7" s="10">
        <v>1462.770970782281</v>
      </c>
      <c r="M7" s="197">
        <v>1507.0688030160227</v>
      </c>
      <c r="N7" s="53">
        <v>1548.5391140433553</v>
      </c>
      <c r="O7" s="10">
        <v>1590.0094250706882</v>
      </c>
      <c r="P7" s="10">
        <v>1635.2497643732329</v>
      </c>
      <c r="Q7" s="53">
        <v>1681.4326107445806</v>
      </c>
      <c r="R7" s="81">
        <v>1727.6154571159284</v>
      </c>
      <c r="S7" s="53">
        <v>1835.0612629594723</v>
      </c>
      <c r="T7" s="10">
        <v>1843.5438265786995</v>
      </c>
      <c r="U7" s="10">
        <v>1855.7964184731386</v>
      </c>
      <c r="V7" s="197">
        <v>1870.876531573987</v>
      </c>
      <c r="W7" s="81">
        <v>1879.359095193214</v>
      </c>
      <c r="X7" s="158"/>
    </row>
    <row r="8" spans="1:24" ht="20.100000000000001" customHeight="1">
      <c r="A8" s="638"/>
      <c r="B8" s="5">
        <v>200</v>
      </c>
      <c r="C8" s="15">
        <v>1113.100848256362</v>
      </c>
      <c r="D8" s="45">
        <v>1157.3986804901037</v>
      </c>
      <c r="E8" s="15">
        <v>1207.3515551366636</v>
      </c>
      <c r="F8" s="44">
        <v>1257.3044297832234</v>
      </c>
      <c r="G8" s="15">
        <v>1302.5447690857682</v>
      </c>
      <c r="H8" s="15">
        <v>1346.8426013195099</v>
      </c>
      <c r="I8" s="52">
        <v>1392.0829406220548</v>
      </c>
      <c r="J8" s="15">
        <v>1443.9208294062207</v>
      </c>
      <c r="K8" s="15">
        <v>1483.5061262959473</v>
      </c>
      <c r="L8" s="15">
        <v>1533.4590009425071</v>
      </c>
      <c r="M8" s="170">
        <v>1577.7568331762488</v>
      </c>
      <c r="N8" s="52">
        <v>1627.7097078228087</v>
      </c>
      <c r="O8" s="15">
        <v>1674.8350612629595</v>
      </c>
      <c r="P8" s="15">
        <v>1717.2478793590954</v>
      </c>
      <c r="Q8" s="52">
        <v>1762.4882186616401</v>
      </c>
      <c r="R8" s="82">
        <v>1814.326107445806</v>
      </c>
      <c r="S8" s="52">
        <v>1924.5994344957587</v>
      </c>
      <c r="T8" s="15">
        <v>1937.7945334590011</v>
      </c>
      <c r="U8" s="15">
        <v>1951.9321394910462</v>
      </c>
      <c r="V8" s="170">
        <v>1960.4147031102734</v>
      </c>
      <c r="W8" s="82">
        <v>1974.5523091423186</v>
      </c>
      <c r="X8" s="158"/>
    </row>
    <row r="9" spans="1:24" ht="20.100000000000001" customHeight="1">
      <c r="A9" s="638"/>
      <c r="B9" s="13">
        <v>220</v>
      </c>
      <c r="C9" s="10">
        <v>1145.1460885956644</v>
      </c>
      <c r="D9" s="42">
        <v>1196.9839773798303</v>
      </c>
      <c r="E9" s="10">
        <v>1244.1093308199813</v>
      </c>
      <c r="F9" s="41">
        <v>1290.2921771913291</v>
      </c>
      <c r="G9" s="10">
        <v>1344.015080113101</v>
      </c>
      <c r="H9" s="10">
        <v>1392.0829406220548</v>
      </c>
      <c r="I9" s="53">
        <v>1440.1508011310086</v>
      </c>
      <c r="J9" s="10">
        <v>1488.2186616399624</v>
      </c>
      <c r="K9" s="10">
        <v>1538.1715362865223</v>
      </c>
      <c r="L9" s="10">
        <v>1585.296889726673</v>
      </c>
      <c r="M9" s="197">
        <v>1635.2497643732329</v>
      </c>
      <c r="N9" s="53">
        <v>1688.0301602262018</v>
      </c>
      <c r="O9" s="10">
        <v>1735.1555136663526</v>
      </c>
      <c r="P9" s="10">
        <v>1785.1083883129124</v>
      </c>
      <c r="Q9" s="53">
        <v>1835.0612629594723</v>
      </c>
      <c r="R9" s="81">
        <v>1879.359095193214</v>
      </c>
      <c r="S9" s="53">
        <v>1995.2874646559851</v>
      </c>
      <c r="T9" s="10">
        <v>2008.4825636192272</v>
      </c>
      <c r="U9" s="10">
        <v>2020.7351555136665</v>
      </c>
      <c r="V9" s="197">
        <v>2031.1027332704996</v>
      </c>
      <c r="W9" s="81">
        <v>2045.240339302545</v>
      </c>
      <c r="X9" s="158"/>
    </row>
    <row r="10" spans="1:24" ht="20.100000000000001" customHeight="1">
      <c r="A10" s="638"/>
      <c r="B10" s="5">
        <v>240</v>
      </c>
      <c r="C10" s="15">
        <v>1188.5014137606033</v>
      </c>
      <c r="D10" s="45">
        <v>1240.3393025447692</v>
      </c>
      <c r="E10" s="15">
        <v>1286.522148916117</v>
      </c>
      <c r="F10" s="44">
        <v>1342.130065975495</v>
      </c>
      <c r="G10" s="15">
        <v>1392.0829406220548</v>
      </c>
      <c r="H10" s="15">
        <v>1446.7483506126296</v>
      </c>
      <c r="I10" s="52">
        <v>1496.7012252591894</v>
      </c>
      <c r="J10" s="15">
        <v>1550.4241281809614</v>
      </c>
      <c r="K10" s="15">
        <v>1600.3770028275212</v>
      </c>
      <c r="L10" s="15">
        <v>1654.0999057492932</v>
      </c>
      <c r="M10" s="170">
        <v>1700.2827521206409</v>
      </c>
      <c r="N10" s="52">
        <v>1750.2356267672008</v>
      </c>
      <c r="O10" s="15">
        <v>1803.9585296889727</v>
      </c>
      <c r="P10" s="15">
        <v>1858.6239396795477</v>
      </c>
      <c r="Q10" s="52">
        <v>1910.4618284637136</v>
      </c>
      <c r="R10" s="82">
        <v>1960.4147031102734</v>
      </c>
      <c r="S10" s="52">
        <v>2084.8256361922718</v>
      </c>
      <c r="T10" s="15">
        <v>2093.3081998114985</v>
      </c>
      <c r="U10" s="15">
        <v>2105.5607917059378</v>
      </c>
      <c r="V10" s="170">
        <v>2122.5259189443923</v>
      </c>
      <c r="W10" s="82">
        <v>2136.6635249764377</v>
      </c>
      <c r="X10" s="158"/>
    </row>
    <row r="11" spans="1:24" ht="20.100000000000001" customHeight="1">
      <c r="A11" s="638"/>
      <c r="B11" s="13">
        <v>260</v>
      </c>
      <c r="C11" s="10">
        <v>1226.2016965127239</v>
      </c>
      <c r="D11" s="42">
        <v>1283.6946277097079</v>
      </c>
      <c r="E11" s="10">
        <v>1340.2450518378889</v>
      </c>
      <c r="F11" s="41">
        <v>1390.1979264844488</v>
      </c>
      <c r="G11" s="10">
        <v>1448.6333647502356</v>
      </c>
      <c r="H11" s="10">
        <v>1498.5862393967955</v>
      </c>
      <c r="I11" s="53">
        <v>1557.0216776625825</v>
      </c>
      <c r="J11" s="10">
        <v>1596.6069745523093</v>
      </c>
      <c r="K11" s="10">
        <v>1652.2148916116871</v>
      </c>
      <c r="L11" s="10">
        <v>1706.8803016022621</v>
      </c>
      <c r="M11" s="197">
        <v>1760.603204524034</v>
      </c>
      <c r="N11" s="53">
        <v>1819.0386427898211</v>
      </c>
      <c r="O11" s="10">
        <v>1872.761545711593</v>
      </c>
      <c r="P11" s="10">
        <v>1926.4844486333648</v>
      </c>
      <c r="Q11" s="53">
        <v>1983.0348727615458</v>
      </c>
      <c r="R11" s="81">
        <v>2043.3553251649389</v>
      </c>
      <c r="S11" s="53">
        <v>2168.70876531574</v>
      </c>
      <c r="T11" s="10">
        <v>2179.0763430725733</v>
      </c>
      <c r="U11" s="10">
        <v>2191.3289349670122</v>
      </c>
      <c r="V11" s="197">
        <v>2201.6965127238454</v>
      </c>
      <c r="W11" s="81">
        <v>2212.0640904806787</v>
      </c>
      <c r="X11" s="158"/>
    </row>
    <row r="12" spans="1:24" ht="20.100000000000001" customHeight="1">
      <c r="A12" s="638"/>
      <c r="B12" s="5">
        <v>280</v>
      </c>
      <c r="C12" s="15">
        <v>1262.9594721960416</v>
      </c>
      <c r="D12" s="45">
        <v>1321.3949104618284</v>
      </c>
      <c r="E12" s="15">
        <v>1376.0603204524034</v>
      </c>
      <c r="F12" s="44">
        <v>1431.6682375117814</v>
      </c>
      <c r="G12" s="15">
        <v>1490.1036757775685</v>
      </c>
      <c r="H12" s="15">
        <v>1543.8265786993404</v>
      </c>
      <c r="I12" s="52">
        <v>1604.1470311027333</v>
      </c>
      <c r="J12" s="15">
        <v>1641.8473138548541</v>
      </c>
      <c r="K12" s="15">
        <v>1698.3977379830349</v>
      </c>
      <c r="L12" s="15">
        <v>1755.8906691800189</v>
      </c>
      <c r="M12" s="170">
        <v>1808.6710650329878</v>
      </c>
      <c r="N12" s="52">
        <v>1866.1639962299719</v>
      </c>
      <c r="O12" s="15">
        <v>1924.5994344957587</v>
      </c>
      <c r="P12" s="15">
        <v>1981.1498586239397</v>
      </c>
      <c r="Q12" s="52">
        <v>2032.9877474081056</v>
      </c>
      <c r="R12" s="82">
        <v>2093.3081998114985</v>
      </c>
      <c r="S12" s="52">
        <v>2220.5466540999059</v>
      </c>
      <c r="T12" s="15">
        <v>2236.5692742695574</v>
      </c>
      <c r="U12" s="15">
        <v>2246.9368520263902</v>
      </c>
      <c r="V12" s="170">
        <v>2260.1319509896325</v>
      </c>
      <c r="W12" s="82">
        <v>2274.2695570216779</v>
      </c>
      <c r="X12" s="158"/>
    </row>
    <row r="13" spans="1:24" ht="20.100000000000001" customHeight="1">
      <c r="A13" s="638"/>
      <c r="B13" s="13">
        <v>300</v>
      </c>
      <c r="C13" s="10">
        <v>1286.522148916117</v>
      </c>
      <c r="D13" s="42">
        <v>1350.612629594722</v>
      </c>
      <c r="E13" s="10">
        <v>1409.048067860509</v>
      </c>
      <c r="F13" s="41">
        <v>1460.8859566446749</v>
      </c>
      <c r="G13" s="10">
        <v>1523.0914231856739</v>
      </c>
      <c r="H13" s="10">
        <v>1583.411875589067</v>
      </c>
      <c r="I13" s="53">
        <v>1633.3647502356268</v>
      </c>
      <c r="J13" s="10">
        <v>1667.2950047125355</v>
      </c>
      <c r="K13" s="10">
        <v>1731.3854853911405</v>
      </c>
      <c r="L13" s="10">
        <v>1787.9359095193215</v>
      </c>
      <c r="M13" s="197">
        <v>1848.2563619227146</v>
      </c>
      <c r="N13" s="53">
        <v>1914.2318567389257</v>
      </c>
      <c r="O13" s="10">
        <v>1966.0697455230916</v>
      </c>
      <c r="P13" s="10">
        <v>2024.5051837888784</v>
      </c>
      <c r="Q13" s="53">
        <v>2074.4580584354385</v>
      </c>
      <c r="R13" s="81">
        <v>2134.7785108388316</v>
      </c>
      <c r="S13" s="53">
        <v>2265.7869934024507</v>
      </c>
      <c r="T13" s="10">
        <v>2278.982092365693</v>
      </c>
      <c r="U13" s="10">
        <v>2289.3496701225258</v>
      </c>
      <c r="V13" s="197">
        <v>2303.4872761545712</v>
      </c>
      <c r="W13" s="81">
        <v>2317.6248821866166</v>
      </c>
      <c r="X13" s="158"/>
    </row>
    <row r="14" spans="1:24" ht="20.100000000000001" customHeight="1">
      <c r="A14" s="638"/>
      <c r="B14" s="5">
        <v>320</v>
      </c>
      <c r="C14" s="15">
        <v>1464.655984919887</v>
      </c>
      <c r="D14" s="45">
        <v>1536.2865221489162</v>
      </c>
      <c r="E14" s="15">
        <v>1600.3770028275212</v>
      </c>
      <c r="F14" s="44">
        <v>1660.6974552309143</v>
      </c>
      <c r="G14" s="15">
        <v>1731.3854853911405</v>
      </c>
      <c r="H14" s="15">
        <v>1800.1885014137606</v>
      </c>
      <c r="I14" s="52">
        <v>1855.7964184731386</v>
      </c>
      <c r="J14" s="15">
        <v>1893.4967012252594</v>
      </c>
      <c r="K14" s="15">
        <v>1966.0697455230916</v>
      </c>
      <c r="L14" s="15">
        <v>2026.3901979264845</v>
      </c>
      <c r="M14" s="170">
        <v>2091.4231856738925</v>
      </c>
      <c r="N14" s="52">
        <v>2165.881244109331</v>
      </c>
      <c r="O14" s="15">
        <v>2224.316682375118</v>
      </c>
      <c r="P14" s="15">
        <v>2295.004712535344</v>
      </c>
      <c r="Q14" s="52">
        <v>2355.3251649387371</v>
      </c>
      <c r="R14" s="82">
        <v>2424.1281809613574</v>
      </c>
      <c r="S14" s="52">
        <v>2436.3807728557967</v>
      </c>
      <c r="T14" s="15">
        <v>2446.7483506126296</v>
      </c>
      <c r="U14" s="15">
        <v>2461.828463713478</v>
      </c>
      <c r="V14" s="170">
        <v>2474.0810556079173</v>
      </c>
      <c r="W14" s="82">
        <v>2486.3336475023566</v>
      </c>
      <c r="X14" s="158"/>
    </row>
    <row r="15" spans="1:24" ht="20.100000000000001" customHeight="1">
      <c r="A15" s="638"/>
      <c r="B15" s="13">
        <v>340</v>
      </c>
      <c r="C15" s="18"/>
      <c r="D15" s="42">
        <v>1583.411875589067</v>
      </c>
      <c r="E15" s="10">
        <v>1648.444863336475</v>
      </c>
      <c r="F15" s="41">
        <v>1708.7653157398681</v>
      </c>
      <c r="G15" s="10">
        <v>1781.3383600377003</v>
      </c>
      <c r="H15" s="10">
        <v>1845.4288407163056</v>
      </c>
      <c r="I15" s="53">
        <v>1895.3817153628654</v>
      </c>
      <c r="J15" s="10">
        <v>1939.6795475966071</v>
      </c>
      <c r="K15" s="10">
        <v>2012.2525918944393</v>
      </c>
      <c r="L15" s="10">
        <v>2076.3430725730445</v>
      </c>
      <c r="M15" s="197">
        <v>2139.4910461828463</v>
      </c>
      <c r="N15" s="53">
        <v>2215.8341187558908</v>
      </c>
      <c r="O15" s="10">
        <v>2276.1545711592839</v>
      </c>
      <c r="P15" s="10">
        <v>2336.4750235626771</v>
      </c>
      <c r="Q15" s="53">
        <v>2399.6229971724788</v>
      </c>
      <c r="R15" s="81">
        <v>2470.3110273327052</v>
      </c>
      <c r="S15" s="53">
        <v>2482.5636192271445</v>
      </c>
      <c r="T15" s="10">
        <v>2492.9311969839773</v>
      </c>
      <c r="U15" s="10">
        <v>2505.1837888784166</v>
      </c>
      <c r="V15" s="185"/>
      <c r="W15" s="18"/>
      <c r="X15" s="158"/>
    </row>
    <row r="16" spans="1:24" ht="20.100000000000001" customHeight="1">
      <c r="A16" s="638"/>
      <c r="B16" s="5">
        <v>360</v>
      </c>
      <c r="C16" s="8"/>
      <c r="D16" s="45">
        <v>1602.2620169651273</v>
      </c>
      <c r="E16" s="15">
        <v>1667.2950047125355</v>
      </c>
      <c r="F16" s="44">
        <v>1731.3854853911405</v>
      </c>
      <c r="G16" s="15">
        <v>1803.9585296889727</v>
      </c>
      <c r="H16" s="15">
        <v>1868.9915174363809</v>
      </c>
      <c r="I16" s="52">
        <v>1926.4844486333648</v>
      </c>
      <c r="J16" s="15">
        <v>1964.1847313854855</v>
      </c>
      <c r="K16" s="15">
        <v>2032.9877474081056</v>
      </c>
      <c r="L16" s="15">
        <v>2095.1932139491046</v>
      </c>
      <c r="M16" s="170">
        <v>2160.2262016965128</v>
      </c>
      <c r="N16" s="52">
        <v>2234.6842601319513</v>
      </c>
      <c r="O16" s="15">
        <v>2299.7172478793591</v>
      </c>
      <c r="P16" s="15">
        <v>2363.8077285579643</v>
      </c>
      <c r="Q16" s="52">
        <v>2422.2431668237514</v>
      </c>
      <c r="R16" s="82">
        <v>2491.0461828463713</v>
      </c>
      <c r="S16" s="52">
        <v>2503.2987747408106</v>
      </c>
      <c r="T16" s="8"/>
      <c r="U16" s="8"/>
      <c r="V16" s="171"/>
      <c r="W16" s="8"/>
      <c r="X16" s="158"/>
    </row>
    <row r="17" spans="1:24" ht="20.100000000000001" customHeight="1">
      <c r="A17" s="638"/>
      <c r="B17" s="13">
        <v>380</v>
      </c>
      <c r="C17" s="111"/>
      <c r="D17" s="111"/>
      <c r="E17" s="10">
        <v>1688.0301602262018</v>
      </c>
      <c r="F17" s="41">
        <v>1748.3506126295947</v>
      </c>
      <c r="G17" s="10">
        <v>1816.211121583412</v>
      </c>
      <c r="H17" s="10">
        <v>1881.24410933082</v>
      </c>
      <c r="I17" s="53">
        <v>1939.6795475966071</v>
      </c>
      <c r="J17" s="10">
        <v>1981.1498586239397</v>
      </c>
      <c r="K17" s="10">
        <v>2051.8378887841659</v>
      </c>
      <c r="L17" s="10">
        <v>2114.0433553251651</v>
      </c>
      <c r="M17" s="197">
        <v>2174.3638077285582</v>
      </c>
      <c r="N17" s="53">
        <v>2251.6493873704053</v>
      </c>
      <c r="O17" s="10">
        <v>2311.9698397737984</v>
      </c>
      <c r="P17" s="10">
        <v>2372.2902921771915</v>
      </c>
      <c r="Q17" s="53">
        <v>2434.4957587181907</v>
      </c>
      <c r="R17" s="81">
        <v>2505.1837888784166</v>
      </c>
      <c r="S17" s="111"/>
      <c r="T17" s="111"/>
      <c r="U17" s="111"/>
      <c r="V17" s="214"/>
      <c r="W17" s="111"/>
      <c r="X17" s="158"/>
    </row>
    <row r="18" spans="1:24" ht="20.100000000000001" customHeight="1">
      <c r="A18" s="638"/>
      <c r="B18" s="5">
        <v>400</v>
      </c>
      <c r="C18" s="8"/>
      <c r="D18" s="8"/>
      <c r="E18" s="15">
        <v>1698.3977379830349</v>
      </c>
      <c r="F18" s="44">
        <v>1764.3732327992461</v>
      </c>
      <c r="G18" s="15">
        <v>1833.1762488218662</v>
      </c>
      <c r="H18" s="15">
        <v>1895.3817153628654</v>
      </c>
      <c r="I18" s="52">
        <v>1953.8171536286522</v>
      </c>
      <c r="J18" s="15">
        <v>1993.4024505183791</v>
      </c>
      <c r="K18" s="15">
        <v>2062.2054665409992</v>
      </c>
      <c r="L18" s="15">
        <v>2124.4109330819983</v>
      </c>
      <c r="M18" s="170">
        <v>2191.3289349670122</v>
      </c>
      <c r="N18" s="52">
        <v>2265.7869934024507</v>
      </c>
      <c r="O18" s="15">
        <v>2327.9924599434498</v>
      </c>
      <c r="P18" s="15">
        <v>2389.2554194156455</v>
      </c>
      <c r="Q18" s="52">
        <v>2449.5758718190386</v>
      </c>
      <c r="R18" s="8"/>
      <c r="S18" s="8"/>
      <c r="T18" s="8"/>
      <c r="U18" s="8"/>
      <c r="V18" s="171"/>
      <c r="W18" s="8"/>
      <c r="X18" s="158"/>
    </row>
    <row r="19" spans="1:24" ht="20.100000000000001" customHeight="1">
      <c r="A19" s="638"/>
      <c r="B19" s="13">
        <v>420</v>
      </c>
      <c r="C19" s="18"/>
      <c r="D19" s="18"/>
      <c r="E19" s="18"/>
      <c r="F19" s="41">
        <v>1774.7408105560792</v>
      </c>
      <c r="G19" s="10">
        <v>1843.5438265786995</v>
      </c>
      <c r="H19" s="10">
        <v>1912.3468426013196</v>
      </c>
      <c r="I19" s="53">
        <v>1972.6672950047127</v>
      </c>
      <c r="J19" s="10">
        <v>2005.6550424128181</v>
      </c>
      <c r="K19" s="10">
        <v>2079.1705937794536</v>
      </c>
      <c r="L19" s="10">
        <v>2141.3760603204523</v>
      </c>
      <c r="M19" s="197">
        <v>2205.4665409990575</v>
      </c>
      <c r="N19" s="53">
        <v>2282.7521206409051</v>
      </c>
      <c r="O19" s="10">
        <v>2339.3025447690857</v>
      </c>
      <c r="P19" s="10">
        <v>2403.3930254476909</v>
      </c>
      <c r="Q19" s="53">
        <v>2463.713477851084</v>
      </c>
      <c r="R19" s="18"/>
      <c r="S19" s="18"/>
      <c r="T19" s="18"/>
      <c r="U19" s="18"/>
      <c r="V19" s="185"/>
      <c r="W19" s="18"/>
      <c r="X19" s="158"/>
    </row>
    <row r="20" spans="1:24" ht="20.100000000000001" customHeight="1">
      <c r="A20" s="638"/>
      <c r="B20" s="5">
        <v>440</v>
      </c>
      <c r="C20" s="112"/>
      <c r="D20" s="112"/>
      <c r="E20" s="112"/>
      <c r="F20" s="44">
        <v>1791.7059377945336</v>
      </c>
      <c r="G20" s="15">
        <v>1862.3939679547598</v>
      </c>
      <c r="H20" s="15">
        <v>1926.4844486333648</v>
      </c>
      <c r="I20" s="52">
        <v>1983.0348727615458</v>
      </c>
      <c r="J20" s="15">
        <v>2020.7351555136665</v>
      </c>
      <c r="K20" s="15">
        <v>2091.4231856738925</v>
      </c>
      <c r="L20" s="15">
        <v>2153.6286522148916</v>
      </c>
      <c r="M20" s="170">
        <v>2218.6616399622999</v>
      </c>
      <c r="N20" s="52">
        <v>2293.1196983977379</v>
      </c>
      <c r="O20" s="15">
        <v>2355.3251649387371</v>
      </c>
      <c r="P20" s="15">
        <v>2422.2431668237514</v>
      </c>
      <c r="Q20" s="112"/>
      <c r="R20" s="112"/>
      <c r="S20" s="112"/>
      <c r="T20" s="112"/>
      <c r="U20" s="112"/>
      <c r="V20" s="172"/>
      <c r="W20" s="112"/>
      <c r="X20" s="158"/>
    </row>
    <row r="21" spans="1:24" ht="20.100000000000001" customHeight="1">
      <c r="A21" s="638"/>
      <c r="B21" s="13">
        <v>460</v>
      </c>
      <c r="C21" s="18"/>
      <c r="D21" s="18"/>
      <c r="E21" s="18"/>
      <c r="F21" s="18"/>
      <c r="G21" s="10">
        <v>1874.6465598491989</v>
      </c>
      <c r="H21" s="10">
        <v>1939.6795475966071</v>
      </c>
      <c r="I21" s="53">
        <v>2000</v>
      </c>
      <c r="J21" s="10">
        <v>2036.7577756833177</v>
      </c>
      <c r="K21" s="10">
        <v>2105.5607917059378</v>
      </c>
      <c r="L21" s="10">
        <v>2168.70876531574</v>
      </c>
      <c r="M21" s="197">
        <v>2232.7992459943453</v>
      </c>
      <c r="N21" s="53">
        <v>2310.0848256361924</v>
      </c>
      <c r="O21" s="10">
        <v>2370.4052780395855</v>
      </c>
      <c r="P21" s="18"/>
      <c r="Q21" s="18"/>
      <c r="R21" s="18"/>
      <c r="S21" s="18"/>
      <c r="T21" s="18"/>
      <c r="U21" s="18"/>
      <c r="V21" s="185"/>
      <c r="W21" s="18"/>
      <c r="X21" s="158"/>
    </row>
    <row r="22" spans="1:24" ht="20.100000000000001" customHeight="1">
      <c r="A22" s="638"/>
      <c r="B22" s="5">
        <v>480</v>
      </c>
      <c r="C22" s="8"/>
      <c r="D22" s="8"/>
      <c r="E22" s="8"/>
      <c r="F22" s="8"/>
      <c r="G22" s="15">
        <v>1889.7266729500473</v>
      </c>
      <c r="H22" s="15">
        <v>1951.9321394910462</v>
      </c>
      <c r="I22" s="52">
        <v>2010.3675777568333</v>
      </c>
      <c r="J22" s="15">
        <v>2049.9528746465598</v>
      </c>
      <c r="K22" s="15">
        <v>2122.5259189443923</v>
      </c>
      <c r="L22" s="15">
        <v>2180.9613572101794</v>
      </c>
      <c r="M22" s="170">
        <v>2245.0518378887841</v>
      </c>
      <c r="N22" s="52">
        <v>2322.3374175306317</v>
      </c>
      <c r="O22" s="8"/>
      <c r="P22" s="8"/>
      <c r="Q22" s="8"/>
      <c r="R22" s="8"/>
      <c r="S22" s="8"/>
      <c r="T22" s="8"/>
      <c r="U22" s="8"/>
      <c r="V22" s="171"/>
      <c r="W22" s="8"/>
      <c r="X22" s="158"/>
    </row>
    <row r="23" spans="1:24" ht="20.100000000000001" customHeight="1">
      <c r="A23" s="638"/>
      <c r="B23" s="13">
        <v>500</v>
      </c>
      <c r="C23" s="111"/>
      <c r="D23" s="111"/>
      <c r="E23" s="111"/>
      <c r="F23" s="111"/>
      <c r="G23" s="111"/>
      <c r="H23" s="10">
        <v>1966.0697455230916</v>
      </c>
      <c r="I23" s="53">
        <v>2026.3901979264845</v>
      </c>
      <c r="J23" s="10">
        <v>2065.9754948162113</v>
      </c>
      <c r="K23" s="10">
        <v>2134.7785108388316</v>
      </c>
      <c r="L23" s="10">
        <v>2199.8114985862394</v>
      </c>
      <c r="M23" s="197">
        <v>2263.9019792648446</v>
      </c>
      <c r="N23" s="53">
        <v>2339.3025447690857</v>
      </c>
      <c r="O23" s="111"/>
      <c r="P23" s="111"/>
      <c r="Q23" s="111"/>
      <c r="R23" s="111"/>
      <c r="S23" s="111"/>
      <c r="T23" s="111"/>
      <c r="U23" s="111"/>
      <c r="V23" s="214"/>
      <c r="W23" s="111"/>
      <c r="X23" s="158"/>
    </row>
    <row r="24" spans="1:24" ht="20.100000000000001" customHeight="1">
      <c r="A24" s="638"/>
      <c r="B24" s="113"/>
      <c r="C24" s="639" t="s">
        <v>3</v>
      </c>
      <c r="D24" s="640"/>
      <c r="E24" s="640"/>
      <c r="F24" s="640"/>
      <c r="G24" s="641"/>
      <c r="H24" s="113"/>
      <c r="I24" s="113"/>
      <c r="J24" s="113"/>
      <c r="K24" s="113"/>
      <c r="L24" s="113"/>
      <c r="M24" s="157"/>
      <c r="N24" s="113"/>
      <c r="O24" s="113"/>
      <c r="P24" s="113"/>
      <c r="Q24" s="113"/>
      <c r="R24" s="113"/>
      <c r="S24" s="113"/>
      <c r="T24" s="113"/>
      <c r="U24" s="113"/>
      <c r="V24" s="157"/>
      <c r="W24" s="113"/>
      <c r="X24" s="158"/>
    </row>
    <row r="25" spans="1:24" ht="20.100000000000001" customHeight="1">
      <c r="A25" s="638"/>
      <c r="B25" s="105" t="s">
        <v>4</v>
      </c>
      <c r="C25" s="13">
        <v>100</v>
      </c>
      <c r="D25" s="77">
        <v>120</v>
      </c>
      <c r="E25" s="13">
        <v>140</v>
      </c>
      <c r="F25" s="76">
        <v>160</v>
      </c>
      <c r="G25" s="13">
        <v>180</v>
      </c>
      <c r="H25" s="13">
        <v>200</v>
      </c>
      <c r="I25" s="77">
        <v>220</v>
      </c>
      <c r="J25" s="13">
        <v>240</v>
      </c>
      <c r="K25" s="13">
        <v>260</v>
      </c>
      <c r="L25" s="13">
        <v>280</v>
      </c>
      <c r="M25" s="219">
        <v>300</v>
      </c>
      <c r="N25" s="77">
        <v>320</v>
      </c>
      <c r="O25" s="13">
        <v>340</v>
      </c>
      <c r="P25" s="13">
        <v>360</v>
      </c>
      <c r="Q25" s="77">
        <v>380</v>
      </c>
      <c r="R25" s="76">
        <v>400</v>
      </c>
      <c r="S25" s="77">
        <v>420</v>
      </c>
      <c r="T25" s="13">
        <v>440</v>
      </c>
      <c r="U25" s="13">
        <v>460</v>
      </c>
      <c r="V25" s="219">
        <v>480</v>
      </c>
      <c r="W25" s="76">
        <v>500</v>
      </c>
      <c r="X25" s="158"/>
    </row>
    <row r="26" spans="1:24" ht="20.100000000000001" customHeight="1">
      <c r="A26" s="638"/>
      <c r="B26" s="101" t="s">
        <v>5</v>
      </c>
      <c r="C26" s="15">
        <v>204.52403393025449</v>
      </c>
      <c r="D26" s="45">
        <v>204.52403393025449</v>
      </c>
      <c r="E26" s="15">
        <v>204.52403393025449</v>
      </c>
      <c r="F26" s="44">
        <v>204.52403393025449</v>
      </c>
      <c r="G26" s="15">
        <v>204.52403393025449</v>
      </c>
      <c r="H26" s="15">
        <v>262.95947219604147</v>
      </c>
      <c r="I26" s="45">
        <v>262.95947219604147</v>
      </c>
      <c r="J26" s="15">
        <v>262.95947219604147</v>
      </c>
      <c r="K26" s="15">
        <v>262.95947219604147</v>
      </c>
      <c r="L26" s="15">
        <v>262.95947219604147</v>
      </c>
      <c r="M26" s="160">
        <v>320.45240339302546</v>
      </c>
      <c r="N26" s="45">
        <v>320.45240339302546</v>
      </c>
      <c r="O26" s="15">
        <v>320.45240339302546</v>
      </c>
      <c r="P26" s="15">
        <v>320.45240339302546</v>
      </c>
      <c r="Q26" s="45">
        <v>320.45240339302546</v>
      </c>
      <c r="R26" s="44">
        <v>378.88784165881248</v>
      </c>
      <c r="S26" s="45">
        <v>378.88784165881248</v>
      </c>
      <c r="T26" s="15">
        <v>378.88784165881248</v>
      </c>
      <c r="U26" s="15">
        <v>428.84071630537233</v>
      </c>
      <c r="V26" s="160">
        <v>428.84071630537233</v>
      </c>
      <c r="W26" s="44">
        <v>487.27615457115928</v>
      </c>
      <c r="X26" s="158"/>
    </row>
    <row r="27" spans="1:24" ht="20.100000000000001" customHeight="1">
      <c r="A27" s="638"/>
      <c r="B27" s="105" t="s">
        <v>6</v>
      </c>
      <c r="C27" s="10">
        <v>122.71442035815268</v>
      </c>
      <c r="D27" s="42">
        <v>122.71442035815268</v>
      </c>
      <c r="E27" s="10">
        <v>122.71442035815268</v>
      </c>
      <c r="F27" s="41">
        <v>122.71442035815268</v>
      </c>
      <c r="G27" s="10">
        <v>122.71442035815268</v>
      </c>
      <c r="H27" s="10">
        <v>157.7756833176249</v>
      </c>
      <c r="I27" s="42">
        <v>157.7756833176249</v>
      </c>
      <c r="J27" s="10">
        <v>157.7756833176249</v>
      </c>
      <c r="K27" s="10">
        <v>157.7756833176249</v>
      </c>
      <c r="L27" s="10">
        <v>157.7756833176249</v>
      </c>
      <c r="M27" s="213">
        <v>192.27144203581528</v>
      </c>
      <c r="N27" s="42">
        <v>192.27144203581528</v>
      </c>
      <c r="O27" s="10">
        <v>192.27144203581528</v>
      </c>
      <c r="P27" s="10">
        <v>192.27144203581528</v>
      </c>
      <c r="Q27" s="42">
        <v>192.27144203581528</v>
      </c>
      <c r="R27" s="41">
        <v>227.33270499528746</v>
      </c>
      <c r="S27" s="42">
        <v>227.33270499528746</v>
      </c>
      <c r="T27" s="10">
        <v>227.33270499528746</v>
      </c>
      <c r="U27" s="10">
        <v>257.30442978322338</v>
      </c>
      <c r="V27" s="213">
        <v>257.30442978322338</v>
      </c>
      <c r="W27" s="41">
        <v>292.36569274269556</v>
      </c>
      <c r="X27" s="158"/>
    </row>
    <row r="28" spans="1:24" ht="20.100000000000001" customHeight="1">
      <c r="A28" s="158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 spans="1:24" ht="20.100000000000001" customHeight="1">
      <c r="A29" s="571" t="s">
        <v>7</v>
      </c>
      <c r="B29" s="571"/>
      <c r="C29" s="571"/>
      <c r="D29" s="571"/>
      <c r="E29" s="571"/>
      <c r="F29" s="571"/>
      <c r="G29" s="571"/>
      <c r="H29" s="571"/>
      <c r="I29" s="571"/>
      <c r="J29" s="571"/>
      <c r="K29" s="571"/>
      <c r="L29" s="571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 spans="1:24" ht="20.100000000000001" customHeight="1">
      <c r="A30" s="539" t="s">
        <v>21</v>
      </c>
      <c r="B30" s="540"/>
      <c r="C30" s="540"/>
      <c r="D30" s="540"/>
      <c r="E30" s="540"/>
      <c r="F30" s="540"/>
      <c r="G30" s="540"/>
      <c r="H30" s="540"/>
      <c r="I30" s="540"/>
      <c r="J30" s="541"/>
      <c r="K30" s="617">
        <v>-82</v>
      </c>
      <c r="L30" s="61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 spans="1:24" ht="20.100000000000001" customHeight="1">
      <c r="A31" s="542" t="s">
        <v>304</v>
      </c>
      <c r="B31" s="543"/>
      <c r="C31" s="543"/>
      <c r="D31" s="543"/>
      <c r="E31" s="543"/>
      <c r="F31" s="543"/>
      <c r="G31" s="543"/>
      <c r="H31" s="543"/>
      <c r="I31" s="543"/>
      <c r="J31" s="544"/>
      <c r="K31" s="621">
        <v>45</v>
      </c>
      <c r="L31" s="622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 spans="1:24" ht="20.100000000000001" customHeight="1">
      <c r="A32" s="539" t="s">
        <v>305</v>
      </c>
      <c r="B32" s="540"/>
      <c r="C32" s="540"/>
      <c r="D32" s="540"/>
      <c r="E32" s="540"/>
      <c r="F32" s="540"/>
      <c r="G32" s="540"/>
      <c r="H32" s="540"/>
      <c r="I32" s="540"/>
      <c r="J32" s="541"/>
      <c r="K32" s="636">
        <v>70</v>
      </c>
      <c r="L32" s="637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 spans="1:24" ht="20.100000000000001" customHeight="1">
      <c r="A33" s="542" t="s">
        <v>306</v>
      </c>
      <c r="B33" s="543"/>
      <c r="C33" s="543"/>
      <c r="D33" s="543"/>
      <c r="E33" s="543"/>
      <c r="F33" s="543"/>
      <c r="G33" s="543"/>
      <c r="H33" s="543"/>
      <c r="I33" s="543"/>
      <c r="J33" s="544"/>
      <c r="K33" s="615">
        <v>14</v>
      </c>
      <c r="L33" s="616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 spans="1:24" ht="20.100000000000001" customHeight="1">
      <c r="A34" s="634" t="s">
        <v>303</v>
      </c>
      <c r="B34" s="635"/>
      <c r="C34" s="635"/>
      <c r="D34" s="635"/>
      <c r="E34" s="635"/>
      <c r="F34" s="635"/>
      <c r="G34" s="635"/>
      <c r="H34" s="635"/>
      <c r="I34" s="635"/>
      <c r="J34" s="635"/>
      <c r="K34" s="617">
        <v>6</v>
      </c>
      <c r="L34" s="61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 spans="1:24" ht="12.75" customHeight="1">
      <c r="K35" s="617"/>
      <c r="L35" s="61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</row>
  </sheetData>
  <mergeCells count="15">
    <mergeCell ref="A1:R1"/>
    <mergeCell ref="A2:A27"/>
    <mergeCell ref="C24:G24"/>
    <mergeCell ref="A29:L29"/>
    <mergeCell ref="A30:J30"/>
    <mergeCell ref="K30:L30"/>
    <mergeCell ref="A34:J34"/>
    <mergeCell ref="K35:L35"/>
    <mergeCell ref="K34:L34"/>
    <mergeCell ref="A31:J31"/>
    <mergeCell ref="K31:L31"/>
    <mergeCell ref="A32:J32"/>
    <mergeCell ref="K32:L32"/>
    <mergeCell ref="A33:J33"/>
    <mergeCell ref="K33:L3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Blad13">
    <tabColor rgb="FF92D050"/>
    <pageSetUpPr fitToPage="1"/>
  </sheetPr>
  <dimension ref="A1:X34"/>
  <sheetViews>
    <sheetView workbookViewId="0">
      <selection sqref="A1:R1"/>
    </sheetView>
  </sheetViews>
  <sheetFormatPr defaultRowHeight="12.75"/>
  <cols>
    <col min="1" max="1" width="8.6640625" customWidth="1"/>
    <col min="2" max="2" width="6.5" bestFit="1" customWidth="1"/>
    <col min="3" max="23" width="7.6640625" customWidth="1"/>
  </cols>
  <sheetData>
    <row r="1" spans="1:24" ht="37.5" customHeight="1">
      <c r="A1" s="537" t="s">
        <v>33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158"/>
      <c r="T1" s="158"/>
      <c r="U1" s="158"/>
      <c r="V1" s="158"/>
      <c r="W1" s="158"/>
      <c r="X1" s="158"/>
    </row>
    <row r="2" spans="1:24" ht="20.100000000000001" customHeight="1">
      <c r="A2" s="638" t="s">
        <v>18</v>
      </c>
      <c r="B2" s="107" t="s">
        <v>34</v>
      </c>
      <c r="C2" s="5">
        <v>100</v>
      </c>
      <c r="D2" s="5">
        <v>120</v>
      </c>
      <c r="E2" s="5">
        <v>140</v>
      </c>
      <c r="F2" s="5">
        <v>160</v>
      </c>
      <c r="G2" s="5">
        <v>180</v>
      </c>
      <c r="H2" s="5">
        <v>200</v>
      </c>
      <c r="I2" s="5">
        <v>220</v>
      </c>
      <c r="J2" s="5">
        <v>240</v>
      </c>
      <c r="K2" s="5">
        <v>260</v>
      </c>
      <c r="L2" s="5">
        <v>280</v>
      </c>
      <c r="M2" s="188">
        <v>300</v>
      </c>
      <c r="N2" s="5">
        <v>320</v>
      </c>
      <c r="O2" s="5">
        <v>340</v>
      </c>
      <c r="P2" s="5">
        <v>360</v>
      </c>
      <c r="Q2" s="5">
        <v>380</v>
      </c>
      <c r="R2" s="5">
        <v>400</v>
      </c>
      <c r="S2" s="5">
        <v>420</v>
      </c>
      <c r="T2" s="5">
        <v>440</v>
      </c>
      <c r="U2" s="5">
        <v>460</v>
      </c>
      <c r="V2" s="188">
        <v>480</v>
      </c>
      <c r="W2" s="5">
        <v>500</v>
      </c>
      <c r="X2" s="158"/>
    </row>
    <row r="3" spans="1:24" ht="20.100000000000001" customHeight="1">
      <c r="A3" s="638"/>
      <c r="B3" s="13">
        <v>100</v>
      </c>
      <c r="C3" s="10">
        <f>(('Zip 130 (2)'!C3/(1+Korting!$B$3)*(1-Korting!$B$2)*Prijsmutaties!$B$9))</f>
        <v>895.29155445272715</v>
      </c>
      <c r="D3" s="10">
        <f>(('Zip 130 (2)'!D3/(1+Korting!$B$3)*(1-Korting!$B$2)*Prijsmutaties!$B$9))</f>
        <v>921.83905453363627</v>
      </c>
      <c r="E3" s="10">
        <f>(('Zip 130 (2)'!E3/(1+Korting!$B$3)*(1-Korting!$B$2)*Prijsmutaties!$B$9))</f>
        <v>956.62543394999977</v>
      </c>
      <c r="F3" s="10">
        <f>(('Zip 130 (2)'!F3/(1+Korting!$B$3)*(1-Korting!$B$2)*Prijsmutaties!$B$9))</f>
        <v>984.08836506818159</v>
      </c>
      <c r="G3" s="10">
        <f>(('Zip 130 (2)'!G3/(1+Korting!$B$3)*(1-Korting!$B$2)*Prijsmutaties!$B$9))</f>
        <v>1020.7056065590906</v>
      </c>
      <c r="H3" s="10">
        <f>(('Zip 130 (2)'!H3/(1+Korting!$B$3)*(1-Korting!$B$2)*Prijsmutaties!$B$9))</f>
        <v>1049.0839687145451</v>
      </c>
      <c r="I3" s="10">
        <f>(('Zip 130 (2)'!I3/(1+Korting!$B$3)*(1-Korting!$B$2)*Prijsmutaties!$B$9))</f>
        <v>1077.4623308699997</v>
      </c>
      <c r="J3" s="10">
        <f>(('Zip 130 (2)'!J3/(1+Korting!$B$3)*(1-Korting!$B$2)*Prijsmutaties!$B$9))</f>
        <v>1114.0795723609087</v>
      </c>
      <c r="K3" s="10">
        <f>(('Zip 130 (2)'!K3/(1+Korting!$B$3)*(1-Korting!$B$2)*Prijsmutaties!$B$9))</f>
        <v>1142.4579345163634</v>
      </c>
      <c r="L3" s="10">
        <f>(('Zip 130 (2)'!L3/(1+Korting!$B$3)*(1-Korting!$B$2)*Prijsmutaties!$B$9))</f>
        <v>1168.0900035599996</v>
      </c>
      <c r="M3" s="10">
        <f>(('Zip 130 (2)'!M3/(1+Korting!$B$3)*(1-Korting!$B$2)*Prijsmutaties!$B$9))</f>
        <v>1202.8763829763634</v>
      </c>
      <c r="N3" s="10">
        <f>(('Zip 130 (2)'!N3/(1+Korting!$B$3)*(1-Korting!$B$2)*Prijsmutaties!$B$9))</f>
        <v>1236.7473313554542</v>
      </c>
      <c r="O3" s="10">
        <f>(('Zip 130 (2)'!O3/(1+Korting!$B$3)*(1-Korting!$B$2)*Prijsmutaties!$B$9))</f>
        <v>1269.7028486972724</v>
      </c>
      <c r="P3" s="10">
        <f>(('Zip 130 (2)'!P3/(1+Korting!$B$3)*(1-Korting!$B$2)*Prijsmutaties!$B$9))</f>
        <v>1298.0812108527268</v>
      </c>
      <c r="Q3" s="10">
        <f>(('Zip 130 (2)'!Q3/(1+Korting!$B$3)*(1-Korting!$B$2)*Prijsmutaties!$B$9))</f>
        <v>1330.1212971572725</v>
      </c>
      <c r="R3" s="10">
        <f>(('Zip 130 (2)'!R3/(1+Korting!$B$3)*(1-Korting!$B$2)*Prijsmutaties!$B$9))</f>
        <v>1358.4996593127271</v>
      </c>
      <c r="S3" s="10">
        <f>(('Zip 130 (2)'!S3/(1+Korting!$B$3)*(1-Korting!$B$2)*Prijsmutaties!$B$9))</f>
        <v>1440.8884526672725</v>
      </c>
      <c r="T3" s="10">
        <f>(('Zip 130 (2)'!T3/(1+Korting!$B$3)*(1-Korting!$B$2)*Prijsmutaties!$B$9))</f>
        <v>1455.5353492636361</v>
      </c>
      <c r="U3" s="10">
        <f>(('Zip 130 (2)'!U3/(1+Korting!$B$3)*(1-Korting!$B$2)*Prijsmutaties!$B$9))</f>
        <v>1463.7742285990905</v>
      </c>
      <c r="V3" s="10">
        <f>(('Zip 130 (2)'!V3/(1+Korting!$B$3)*(1-Korting!$B$2)*Prijsmutaties!$B$9))</f>
        <v>1475.6748320836359</v>
      </c>
      <c r="W3" s="10">
        <f>(('Zip 130 (2)'!W3/(1+Korting!$B$3)*(1-Korting!$B$2)*Prijsmutaties!$B$9))</f>
        <v>1485.7445734936359</v>
      </c>
      <c r="X3" s="158"/>
    </row>
    <row r="4" spans="1:24" ht="20.100000000000001" customHeight="1">
      <c r="A4" s="638"/>
      <c r="B4" s="5">
        <v>120</v>
      </c>
      <c r="C4" s="15">
        <f>(('Zip 130 (2)'!C4/(1+Korting!$B$3)*(1-Korting!$B$2)*Prijsmutaties!$B$9))</f>
        <v>930.07793386909077</v>
      </c>
      <c r="D4" s="15">
        <f>(('Zip 130 (2)'!D4/(1+Korting!$B$3)*(1-Korting!$B$2)*Prijsmutaties!$B$9))</f>
        <v>966.69517535999978</v>
      </c>
      <c r="E4" s="15">
        <f>(('Zip 130 (2)'!E4/(1+Korting!$B$3)*(1-Korting!$B$2)*Prijsmutaties!$B$9))</f>
        <v>995.07353751545429</v>
      </c>
      <c r="F4" s="15">
        <f>(('Zip 130 (2)'!F4/(1+Korting!$B$3)*(1-Korting!$B$2)*Prijsmutaties!$B$9))</f>
        <v>1032.6062100436363</v>
      </c>
      <c r="G4" s="15">
        <f>(('Zip 130 (2)'!G4/(1+Korting!$B$3)*(1-Korting!$B$2)*Prijsmutaties!$B$9))</f>
        <v>1067.3925894599997</v>
      </c>
      <c r="H4" s="15">
        <f>(('Zip 130 (2)'!H4/(1+Korting!$B$3)*(1-Korting!$B$2)*Prijsmutaties!$B$9))</f>
        <v>1101.2635378390908</v>
      </c>
      <c r="I4" s="15">
        <f>(('Zip 130 (2)'!I4/(1+Korting!$B$3)*(1-Korting!$B$2)*Prijsmutaties!$B$9))</f>
        <v>1134.219055180909</v>
      </c>
      <c r="J4" s="15">
        <f>(('Zip 130 (2)'!J4/(1+Korting!$B$3)*(1-Korting!$B$2)*Prijsmutaties!$B$9))</f>
        <v>1166.2591414854542</v>
      </c>
      <c r="K4" s="15">
        <f>(('Zip 130 (2)'!K4/(1+Korting!$B$3)*(1-Korting!$B$2)*Prijsmutaties!$B$9))</f>
        <v>1202.8763829763634</v>
      </c>
      <c r="L4" s="15">
        <f>(('Zip 130 (2)'!L4/(1+Korting!$B$3)*(1-Korting!$B$2)*Prijsmutaties!$B$9))</f>
        <v>1236.7473313554542</v>
      </c>
      <c r="M4" s="190">
        <f>(('Zip 130 (2)'!M4/(1+Korting!$B$3)*(1-Korting!$B$2)*Prijsmutaties!$B$9))</f>
        <v>1271.5337107718178</v>
      </c>
      <c r="N4" s="15">
        <f>(('Zip 130 (2)'!N4/(1+Korting!$B$3)*(1-Korting!$B$2)*Prijsmutaties!$B$9))</f>
        <v>1301.7429350018181</v>
      </c>
      <c r="O4" s="15">
        <f>(('Zip 130 (2)'!O4/(1+Korting!$B$3)*(1-Korting!$B$2)*Prijsmutaties!$B$9))</f>
        <v>1333.7830213063635</v>
      </c>
      <c r="P4" s="15">
        <f>(('Zip 130 (2)'!P4/(1+Korting!$B$3)*(1-Korting!$B$2)*Prijsmutaties!$B$9))</f>
        <v>1372.2311248718179</v>
      </c>
      <c r="Q4" s="15">
        <f>(('Zip 130 (2)'!Q4/(1+Korting!$B$3)*(1-Korting!$B$2)*Prijsmutaties!$B$9))</f>
        <v>1405.1866422136359</v>
      </c>
      <c r="R4" s="15">
        <f>(('Zip 130 (2)'!R4/(1+Korting!$B$3)*(1-Korting!$B$2)*Prijsmutaties!$B$9))</f>
        <v>1439.0575905927269</v>
      </c>
      <c r="S4" s="15">
        <f>(('Zip 130 (2)'!S4/(1+Korting!$B$3)*(1-Korting!$B$2)*Prijsmutaties!$B$9))</f>
        <v>1529.685263282727</v>
      </c>
      <c r="T4" s="15">
        <f>(('Zip 130 (2)'!T4/(1+Korting!$B$3)*(1-Korting!$B$2)*Prijsmutaties!$B$9))</f>
        <v>1537.9241426181816</v>
      </c>
      <c r="U4" s="15">
        <f>(('Zip 130 (2)'!U4/(1+Korting!$B$3)*(1-Korting!$B$2)*Prijsmutaties!$B$9))</f>
        <v>1554.4019012890906</v>
      </c>
      <c r="V4" s="190">
        <f>(('Zip 130 (2)'!V4/(1+Korting!$B$3)*(1-Korting!$B$2)*Prijsmutaties!$B$9))</f>
        <v>1566.302504773636</v>
      </c>
      <c r="W4" s="15">
        <f>(('Zip 130 (2)'!W4/(1+Korting!$B$3)*(1-Korting!$B$2)*Prijsmutaties!$B$9))</f>
        <v>1578.2031082581814</v>
      </c>
      <c r="X4" s="158"/>
    </row>
    <row r="5" spans="1:24" ht="20.100000000000001" customHeight="1">
      <c r="A5" s="638"/>
      <c r="B5" s="13">
        <v>140</v>
      </c>
      <c r="C5" s="10">
        <f>(('Zip 130 (2)'!C5/(1+Korting!$B$3)*(1-Korting!$B$2)*Prijsmutaties!$B$9))</f>
        <v>963.94888224818169</v>
      </c>
      <c r="D5" s="10">
        <f>(('Zip 130 (2)'!D5/(1+Korting!$B$3)*(1-Korting!$B$2)*Prijsmutaties!$B$9))</f>
        <v>1002.3969858136361</v>
      </c>
      <c r="E5" s="10">
        <f>(('Zip 130 (2)'!E5/(1+Korting!$B$3)*(1-Korting!$B$2)*Prijsmutaties!$B$9))</f>
        <v>1040.8450893790905</v>
      </c>
      <c r="F5" s="10">
        <f>(('Zip 130 (2)'!F5/(1+Korting!$B$3)*(1-Korting!$B$2)*Prijsmutaties!$B$9))</f>
        <v>1077.4623308699997</v>
      </c>
      <c r="G5" s="10">
        <f>(('Zip 130 (2)'!G5/(1+Korting!$B$3)*(1-Korting!$B$2)*Prijsmutaties!$B$9))</f>
        <v>1114.0795723609087</v>
      </c>
      <c r="H5" s="10">
        <f>(('Zip 130 (2)'!H5/(1+Korting!$B$3)*(1-Korting!$B$2)*Prijsmutaties!$B$9))</f>
        <v>1149.7813828145454</v>
      </c>
      <c r="I5" s="10">
        <f>(('Zip 130 (2)'!I5/(1+Korting!$B$3)*(1-Korting!$B$2)*Prijsmutaties!$B$9))</f>
        <v>1192.8066415663634</v>
      </c>
      <c r="J5" s="10">
        <f>(('Zip 130 (2)'!J5/(1+Korting!$B$3)*(1-Korting!$B$2)*Prijsmutaties!$B$9))</f>
        <v>1229.4238830572726</v>
      </c>
      <c r="K5" s="10">
        <f>(('Zip 130 (2)'!K5/(1+Korting!$B$3)*(1-Korting!$B$2)*Prijsmutaties!$B$9))</f>
        <v>1259.6331072872724</v>
      </c>
      <c r="L5" s="10">
        <f>(('Zip 130 (2)'!L5/(1+Korting!$B$3)*(1-Korting!$B$2)*Prijsmutaties!$B$9))</f>
        <v>1299.9120729272727</v>
      </c>
      <c r="M5" s="189">
        <f>(('Zip 130 (2)'!M5/(1+Korting!$B$3)*(1-Korting!$B$2)*Prijsmutaties!$B$9))</f>
        <v>1333.7830213063635</v>
      </c>
      <c r="N5" s="10">
        <f>(('Zip 130 (2)'!N5/(1+Korting!$B$3)*(1-Korting!$B$2)*Prijsmutaties!$B$9))</f>
        <v>1374.0619869463635</v>
      </c>
      <c r="O5" s="10">
        <f>(('Zip 130 (2)'!O5/(1+Korting!$B$3)*(1-Korting!$B$2)*Prijsmutaties!$B$9))</f>
        <v>1407.0175042881815</v>
      </c>
      <c r="P5" s="10">
        <f>(('Zip 130 (2)'!P5/(1+Korting!$B$3)*(1-Korting!$B$2)*Prijsmutaties!$B$9))</f>
        <v>1443.6347457790907</v>
      </c>
      <c r="Q5" s="10">
        <f>(('Zip 130 (2)'!Q5/(1+Korting!$B$3)*(1-Korting!$B$2)*Prijsmutaties!$B$9))</f>
        <v>1483.9137114190905</v>
      </c>
      <c r="R5" s="10">
        <f>(('Zip 130 (2)'!R5/(1+Korting!$B$3)*(1-Korting!$B$2)*Prijsmutaties!$B$9))</f>
        <v>1519.615521872727</v>
      </c>
      <c r="S5" s="10">
        <f>(('Zip 130 (2)'!S5/(1+Korting!$B$3)*(1-Korting!$B$2)*Prijsmutaties!$B$9))</f>
        <v>1614.8203497490906</v>
      </c>
      <c r="T5" s="10">
        <f>(('Zip 130 (2)'!T5/(1+Korting!$B$3)*(1-Korting!$B$2)*Prijsmutaties!$B$9))</f>
        <v>1623.0592290845452</v>
      </c>
      <c r="U5" s="10">
        <f>(('Zip 130 (2)'!U5/(1+Korting!$B$3)*(1-Korting!$B$2)*Prijsmutaties!$B$9))</f>
        <v>1633.1289704945452</v>
      </c>
      <c r="V5" s="189">
        <f>(('Zip 130 (2)'!V5/(1+Korting!$B$3)*(1-Korting!$B$2)*Prijsmutaties!$B$9))</f>
        <v>1649.606729165454</v>
      </c>
      <c r="W5" s="10">
        <f>(('Zip 130 (2)'!W5/(1+Korting!$B$3)*(1-Korting!$B$2)*Prijsmutaties!$B$9))</f>
        <v>1661.5073326499996</v>
      </c>
      <c r="X5" s="158"/>
    </row>
    <row r="6" spans="1:24" ht="20.100000000000001" customHeight="1">
      <c r="A6" s="638"/>
      <c r="B6" s="5">
        <v>160</v>
      </c>
      <c r="C6" s="15">
        <f>(('Zip 130 (2)'!C6/(1+Korting!$B$3)*(1-Korting!$B$2)*Prijsmutaties!$B$9))</f>
        <v>1000.5661237390907</v>
      </c>
      <c r="D6" s="15">
        <f>(('Zip 130 (2)'!D6/(1+Korting!$B$3)*(1-Korting!$B$2)*Prijsmutaties!$B$9))</f>
        <v>1042.6759514536361</v>
      </c>
      <c r="E6" s="15">
        <f>(('Zip 130 (2)'!E6/(1+Korting!$B$3)*(1-Korting!$B$2)*Prijsmutaties!$B$9))</f>
        <v>1085.7012102054543</v>
      </c>
      <c r="F6" s="15">
        <f>(('Zip 130 (2)'!F6/(1+Korting!$B$3)*(1-Korting!$B$2)*Prijsmutaties!$B$9))</f>
        <v>1119.5721585845452</v>
      </c>
      <c r="G6" s="15">
        <f>(('Zip 130 (2)'!G6/(1+Korting!$B$3)*(1-Korting!$B$2)*Prijsmutaties!$B$9))</f>
        <v>1160.7665552618178</v>
      </c>
      <c r="H6" s="15">
        <f>(('Zip 130 (2)'!H6/(1+Korting!$B$3)*(1-Korting!$B$2)*Prijsmutaties!$B$9))</f>
        <v>1196.4683657154542</v>
      </c>
      <c r="I6" s="15">
        <f>(('Zip 130 (2)'!I6/(1+Korting!$B$3)*(1-Korting!$B$2)*Prijsmutaties!$B$9))</f>
        <v>1239.4936244672722</v>
      </c>
      <c r="J6" s="15">
        <f>(('Zip 130 (2)'!J6/(1+Korting!$B$3)*(1-Korting!$B$2)*Prijsmutaties!$B$9))</f>
        <v>1279.7725901072724</v>
      </c>
      <c r="K6" s="15">
        <f>(('Zip 130 (2)'!K6/(1+Korting!$B$3)*(1-Korting!$B$2)*Prijsmutaties!$B$9))</f>
        <v>1320.0515557472725</v>
      </c>
      <c r="L6" s="15">
        <f>(('Zip 130 (2)'!L6/(1+Korting!$B$3)*(1-Korting!$B$2)*Prijsmutaties!$B$9))</f>
        <v>1360.3305213872725</v>
      </c>
      <c r="M6" s="190">
        <f>(('Zip 130 (2)'!M6/(1+Korting!$B$3)*(1-Korting!$B$2)*Prijsmutaties!$B$9))</f>
        <v>1398.7786249527271</v>
      </c>
      <c r="N6" s="15">
        <f>(('Zip 130 (2)'!N6/(1+Korting!$B$3)*(1-Korting!$B$2)*Prijsmutaties!$B$9))</f>
        <v>1439.0575905927269</v>
      </c>
      <c r="O6" s="15">
        <f>(('Zip 130 (2)'!O6/(1+Korting!$B$3)*(1-Korting!$B$2)*Prijsmutaties!$B$9))</f>
        <v>1475.6748320836359</v>
      </c>
      <c r="P6" s="15">
        <f>(('Zip 130 (2)'!P6/(1+Korting!$B$3)*(1-Korting!$B$2)*Prijsmutaties!$B$9))</f>
        <v>1517.7846597981816</v>
      </c>
      <c r="Q6" s="15">
        <f>(('Zip 130 (2)'!Q6/(1+Korting!$B$3)*(1-Korting!$B$2)*Prijsmutaties!$B$9))</f>
        <v>1558.0636254381814</v>
      </c>
      <c r="R6" s="15">
        <f>(('Zip 130 (2)'!R6/(1+Korting!$B$3)*(1-Korting!$B$2)*Prijsmutaties!$B$9))</f>
        <v>1596.5117290036362</v>
      </c>
      <c r="S6" s="15">
        <f>(('Zip 130 (2)'!S6/(1+Korting!$B$3)*(1-Korting!$B$2)*Prijsmutaties!$B$9))</f>
        <v>1695.3782810290907</v>
      </c>
      <c r="T6" s="15">
        <f>(('Zip 130 (2)'!T6/(1+Korting!$B$3)*(1-Korting!$B$2)*Prijsmutaties!$B$9))</f>
        <v>1705.4480224390907</v>
      </c>
      <c r="U6" s="15">
        <f>(('Zip 130 (2)'!U6/(1+Korting!$B$3)*(1-Korting!$B$2)*Prijsmutaties!$B$9))</f>
        <v>1718.2640569609089</v>
      </c>
      <c r="V6" s="190">
        <f>(('Zip 130 (2)'!V6/(1+Korting!$B$3)*(1-Korting!$B$2)*Prijsmutaties!$B$9))</f>
        <v>1728.3337983709087</v>
      </c>
      <c r="W6" s="15">
        <f>(('Zip 130 (2)'!W6/(1+Korting!$B$3)*(1-Korting!$B$2)*Prijsmutaties!$B$9))</f>
        <v>1738.4035397809089</v>
      </c>
      <c r="X6" s="158"/>
    </row>
    <row r="7" spans="1:24" ht="20.100000000000001" customHeight="1">
      <c r="A7" s="638"/>
      <c r="B7" s="13">
        <v>180</v>
      </c>
      <c r="C7" s="10">
        <f>(('Zip 130 (2)'!C7/(1+Korting!$B$3)*(1-Korting!$B$2)*Prijsmutaties!$B$9))</f>
        <v>1045.4222445654543</v>
      </c>
      <c r="D7" s="10">
        <f>(('Zip 130 (2)'!D7/(1+Korting!$B$3)*(1-Korting!$B$2)*Prijsmutaties!$B$9))</f>
        <v>1083.870348130909</v>
      </c>
      <c r="E7" s="10">
        <f>(('Zip 130 (2)'!E7/(1+Korting!$B$3)*(1-Korting!$B$2)*Prijsmutaties!$B$9))</f>
        <v>1125.9801758454544</v>
      </c>
      <c r="F7" s="10">
        <f>(('Zip 130 (2)'!F7/(1+Korting!$B$3)*(1-Korting!$B$2)*Prijsmutaties!$B$9))</f>
        <v>1168.0900035599996</v>
      </c>
      <c r="G7" s="10">
        <f>(('Zip 130 (2)'!G7/(1+Korting!$B$3)*(1-Korting!$B$2)*Prijsmutaties!$B$9))</f>
        <v>1208.3689691999998</v>
      </c>
      <c r="H7" s="10">
        <f>(('Zip 130 (2)'!H7/(1+Korting!$B$3)*(1-Korting!$B$2)*Prijsmutaties!$B$9))</f>
        <v>1251.394227951818</v>
      </c>
      <c r="I7" s="10">
        <f>(('Zip 130 (2)'!I7/(1+Korting!$B$3)*(1-Korting!$B$2)*Prijsmutaties!$B$9))</f>
        <v>1298.0812108527268</v>
      </c>
      <c r="J7" s="10">
        <f>(('Zip 130 (2)'!J7/(1+Korting!$B$3)*(1-Korting!$B$2)*Prijsmutaties!$B$9))</f>
        <v>1338.3601764927271</v>
      </c>
      <c r="K7" s="10">
        <f>(('Zip 130 (2)'!K7/(1+Korting!$B$3)*(1-Korting!$B$2)*Prijsmutaties!$B$9))</f>
        <v>1376.8082800581815</v>
      </c>
      <c r="L7" s="10">
        <f>(('Zip 130 (2)'!L7/(1+Korting!$B$3)*(1-Korting!$B$2)*Prijsmutaties!$B$9))</f>
        <v>1420.7489698472725</v>
      </c>
      <c r="M7" s="189">
        <f>(('Zip 130 (2)'!M7/(1+Korting!$B$3)*(1-Korting!$B$2)*Prijsmutaties!$B$9))</f>
        <v>1463.7742285990905</v>
      </c>
      <c r="N7" s="10">
        <f>(('Zip 130 (2)'!N7/(1+Korting!$B$3)*(1-Korting!$B$2)*Prijsmutaties!$B$9))</f>
        <v>1504.0531942390905</v>
      </c>
      <c r="O7" s="10">
        <f>(('Zip 130 (2)'!O7/(1+Korting!$B$3)*(1-Korting!$B$2)*Prijsmutaties!$B$9))</f>
        <v>1544.3321598790906</v>
      </c>
      <c r="P7" s="10">
        <f>(('Zip 130 (2)'!P7/(1+Korting!$B$3)*(1-Korting!$B$2)*Prijsmutaties!$B$9))</f>
        <v>1588.2728496681816</v>
      </c>
      <c r="Q7" s="10">
        <f>(('Zip 130 (2)'!Q7/(1+Korting!$B$3)*(1-Korting!$B$2)*Prijsmutaties!$B$9))</f>
        <v>1633.1289704945452</v>
      </c>
      <c r="R7" s="10">
        <f>(('Zip 130 (2)'!R7/(1+Korting!$B$3)*(1-Korting!$B$2)*Prijsmutaties!$B$9))</f>
        <v>1677.9850913209089</v>
      </c>
      <c r="S7" s="10">
        <f>(('Zip 130 (2)'!S7/(1+Korting!$B$3)*(1-Korting!$B$2)*Prijsmutaties!$B$9))</f>
        <v>1782.3442295699995</v>
      </c>
      <c r="T7" s="10">
        <f>(('Zip 130 (2)'!T7/(1+Korting!$B$3)*(1-Korting!$B$2)*Prijsmutaties!$B$9))</f>
        <v>1790.5831089054543</v>
      </c>
      <c r="U7" s="10">
        <f>(('Zip 130 (2)'!U7/(1+Korting!$B$3)*(1-Korting!$B$2)*Prijsmutaties!$B$9))</f>
        <v>1802.4837123899995</v>
      </c>
      <c r="V7" s="189">
        <f>(('Zip 130 (2)'!V7/(1+Korting!$B$3)*(1-Korting!$B$2)*Prijsmutaties!$B$9))</f>
        <v>1817.1306089863633</v>
      </c>
      <c r="W7" s="10">
        <f>(('Zip 130 (2)'!W7/(1+Korting!$B$3)*(1-Korting!$B$2)*Prijsmutaties!$B$9))</f>
        <v>1825.3694883218177</v>
      </c>
      <c r="X7" s="158"/>
    </row>
    <row r="8" spans="1:24" ht="20.100000000000001" customHeight="1">
      <c r="A8" s="638"/>
      <c r="B8" s="5">
        <v>200</v>
      </c>
      <c r="C8" s="15">
        <f>(('Zip 130 (2)'!C8/(1+Korting!$B$3)*(1-Korting!$B$2)*Prijsmutaties!$B$9))</f>
        <v>1081.1240550190907</v>
      </c>
      <c r="D8" s="15">
        <f>(('Zip 130 (2)'!D8/(1+Korting!$B$3)*(1-Korting!$B$2)*Prijsmutaties!$B$9))</f>
        <v>1124.1493137709087</v>
      </c>
      <c r="E8" s="15">
        <f>(('Zip 130 (2)'!E8/(1+Korting!$B$3)*(1-Korting!$B$2)*Prijsmutaties!$B$9))</f>
        <v>1172.6671587463634</v>
      </c>
      <c r="F8" s="15">
        <f>(('Zip 130 (2)'!F8/(1+Korting!$B$3)*(1-Korting!$B$2)*Prijsmutaties!$B$9))</f>
        <v>1221.185003721818</v>
      </c>
      <c r="G8" s="15">
        <f>(('Zip 130 (2)'!G8/(1+Korting!$B$3)*(1-Korting!$B$2)*Prijsmutaties!$B$9))</f>
        <v>1265.1256935109088</v>
      </c>
      <c r="H8" s="15">
        <f>(('Zip 130 (2)'!H8/(1+Korting!$B$3)*(1-Korting!$B$2)*Prijsmutaties!$B$9))</f>
        <v>1308.1509522627268</v>
      </c>
      <c r="I8" s="15">
        <f>(('Zip 130 (2)'!I8/(1+Korting!$B$3)*(1-Korting!$B$2)*Prijsmutaties!$B$9))</f>
        <v>1352.0916420518179</v>
      </c>
      <c r="J8" s="15">
        <f>(('Zip 130 (2)'!J8/(1+Korting!$B$3)*(1-Korting!$B$2)*Prijsmutaties!$B$9))</f>
        <v>1402.4403491018179</v>
      </c>
      <c r="K8" s="15">
        <f>(('Zip 130 (2)'!K8/(1+Korting!$B$3)*(1-Korting!$B$2)*Prijsmutaties!$B$9))</f>
        <v>1440.8884526672725</v>
      </c>
      <c r="L8" s="15">
        <f>(('Zip 130 (2)'!L8/(1+Korting!$B$3)*(1-Korting!$B$2)*Prijsmutaties!$B$9))</f>
        <v>1489.4062976427269</v>
      </c>
      <c r="M8" s="190">
        <f>(('Zip 130 (2)'!M8/(1+Korting!$B$3)*(1-Korting!$B$2)*Prijsmutaties!$B$9))</f>
        <v>1532.4315563945449</v>
      </c>
      <c r="N8" s="15">
        <f>(('Zip 130 (2)'!N8/(1+Korting!$B$3)*(1-Korting!$B$2)*Prijsmutaties!$B$9))</f>
        <v>1580.9494013699996</v>
      </c>
      <c r="O8" s="15">
        <f>(('Zip 130 (2)'!O8/(1+Korting!$B$3)*(1-Korting!$B$2)*Prijsmutaties!$B$9))</f>
        <v>1626.720953233636</v>
      </c>
      <c r="P8" s="15">
        <f>(('Zip 130 (2)'!P8/(1+Korting!$B$3)*(1-Korting!$B$2)*Prijsmutaties!$B$9))</f>
        <v>1667.9153499109088</v>
      </c>
      <c r="Q8" s="15">
        <f>(('Zip 130 (2)'!Q8/(1+Korting!$B$3)*(1-Korting!$B$2)*Prijsmutaties!$B$9))</f>
        <v>1711.8560396999997</v>
      </c>
      <c r="R8" s="15">
        <f>(('Zip 130 (2)'!R8/(1+Korting!$B$3)*(1-Korting!$B$2)*Prijsmutaties!$B$9))</f>
        <v>1762.2047467499997</v>
      </c>
      <c r="S8" s="15">
        <f>(('Zip 130 (2)'!S8/(1+Korting!$B$3)*(1-Korting!$B$2)*Prijsmutaties!$B$9))</f>
        <v>1869.3101781109087</v>
      </c>
      <c r="T8" s="15">
        <f>(('Zip 130 (2)'!T8/(1+Korting!$B$3)*(1-Korting!$B$2)*Prijsmutaties!$B$9))</f>
        <v>1882.1262126327269</v>
      </c>
      <c r="U8" s="15">
        <f>(('Zip 130 (2)'!U8/(1+Korting!$B$3)*(1-Korting!$B$2)*Prijsmutaties!$B$9))</f>
        <v>1895.8576781918177</v>
      </c>
      <c r="V8" s="190">
        <f>(('Zip 130 (2)'!V8/(1+Korting!$B$3)*(1-Korting!$B$2)*Prijsmutaties!$B$9))</f>
        <v>1904.0965575272724</v>
      </c>
      <c r="W8" s="15">
        <f>(('Zip 130 (2)'!W8/(1+Korting!$B$3)*(1-Korting!$B$2)*Prijsmutaties!$B$9))</f>
        <v>1917.8280230863631</v>
      </c>
      <c r="X8" s="158"/>
    </row>
    <row r="9" spans="1:24" ht="20.100000000000001" customHeight="1">
      <c r="A9" s="638"/>
      <c r="B9" s="13">
        <v>220</v>
      </c>
      <c r="C9" s="10">
        <f>(('Zip 130 (2)'!C9/(1+Korting!$B$3)*(1-Korting!$B$2)*Prijsmutaties!$B$9))</f>
        <v>1112.2487102863633</v>
      </c>
      <c r="D9" s="10">
        <f>(('Zip 130 (2)'!D9/(1+Korting!$B$3)*(1-Korting!$B$2)*Prijsmutaties!$B$9))</f>
        <v>1162.5974173363632</v>
      </c>
      <c r="E9" s="10">
        <f>(('Zip 130 (2)'!E9/(1+Korting!$B$3)*(1-Korting!$B$2)*Prijsmutaties!$B$9))</f>
        <v>1208.3689691999998</v>
      </c>
      <c r="F9" s="10">
        <f>(('Zip 130 (2)'!F9/(1+Korting!$B$3)*(1-Korting!$B$2)*Prijsmutaties!$B$9))</f>
        <v>1253.2250900263634</v>
      </c>
      <c r="G9" s="10">
        <f>(('Zip 130 (2)'!G9/(1+Korting!$B$3)*(1-Korting!$B$2)*Prijsmutaties!$B$9))</f>
        <v>1305.4046591509089</v>
      </c>
      <c r="H9" s="10">
        <f>(('Zip 130 (2)'!H9/(1+Korting!$B$3)*(1-Korting!$B$2)*Prijsmutaties!$B$9))</f>
        <v>1352.0916420518179</v>
      </c>
      <c r="I9" s="10">
        <f>(('Zip 130 (2)'!I9/(1+Korting!$B$3)*(1-Korting!$B$2)*Prijsmutaties!$B$9))</f>
        <v>1398.7786249527271</v>
      </c>
      <c r="J9" s="10">
        <f>(('Zip 130 (2)'!J9/(1+Korting!$B$3)*(1-Korting!$B$2)*Prijsmutaties!$B$9))</f>
        <v>1445.4656078536361</v>
      </c>
      <c r="K9" s="10">
        <f>(('Zip 130 (2)'!K9/(1+Korting!$B$3)*(1-Korting!$B$2)*Prijsmutaties!$B$9))</f>
        <v>1493.9834528290905</v>
      </c>
      <c r="L9" s="10">
        <f>(('Zip 130 (2)'!L9/(1+Korting!$B$3)*(1-Korting!$B$2)*Prijsmutaties!$B$9))</f>
        <v>1539.755004692727</v>
      </c>
      <c r="M9" s="189">
        <f>(('Zip 130 (2)'!M9/(1+Korting!$B$3)*(1-Korting!$B$2)*Prijsmutaties!$B$9))</f>
        <v>1588.2728496681816</v>
      </c>
      <c r="N9" s="10">
        <f>(('Zip 130 (2)'!N9/(1+Korting!$B$3)*(1-Korting!$B$2)*Prijsmutaties!$B$9))</f>
        <v>1639.5369877554542</v>
      </c>
      <c r="O9" s="10">
        <f>(('Zip 130 (2)'!O9/(1+Korting!$B$3)*(1-Korting!$B$2)*Prijsmutaties!$B$9))</f>
        <v>1685.3085396190904</v>
      </c>
      <c r="P9" s="10">
        <f>(('Zip 130 (2)'!P9/(1+Korting!$B$3)*(1-Korting!$B$2)*Prijsmutaties!$B$9))</f>
        <v>1733.8263845945451</v>
      </c>
      <c r="Q9" s="10">
        <f>(('Zip 130 (2)'!Q9/(1+Korting!$B$3)*(1-Korting!$B$2)*Prijsmutaties!$B$9))</f>
        <v>1782.3442295699995</v>
      </c>
      <c r="R9" s="10">
        <f>(('Zip 130 (2)'!R9/(1+Korting!$B$3)*(1-Korting!$B$2)*Prijsmutaties!$B$9))</f>
        <v>1825.3694883218177</v>
      </c>
      <c r="S9" s="10">
        <f>(('Zip 130 (2)'!S9/(1+Korting!$B$3)*(1-Korting!$B$2)*Prijsmutaties!$B$9))</f>
        <v>1937.9675059063632</v>
      </c>
      <c r="T9" s="10">
        <f>(('Zip 130 (2)'!T9/(1+Korting!$B$3)*(1-Korting!$B$2)*Prijsmutaties!$B$9))</f>
        <v>1950.7835404281816</v>
      </c>
      <c r="U9" s="10">
        <f>(('Zip 130 (2)'!U9/(1+Korting!$B$3)*(1-Korting!$B$2)*Prijsmutaties!$B$9))</f>
        <v>1962.684143912727</v>
      </c>
      <c r="V9" s="189">
        <f>(('Zip 130 (2)'!V9/(1+Korting!$B$3)*(1-Korting!$B$2)*Prijsmutaties!$B$9))</f>
        <v>1972.7538853227268</v>
      </c>
      <c r="W9" s="10">
        <f>(('Zip 130 (2)'!W9/(1+Korting!$B$3)*(1-Korting!$B$2)*Prijsmutaties!$B$9))</f>
        <v>1986.485350881818</v>
      </c>
      <c r="X9" s="158"/>
    </row>
    <row r="10" spans="1:24" ht="20.100000000000001" customHeight="1">
      <c r="A10" s="638"/>
      <c r="B10" s="5">
        <v>240</v>
      </c>
      <c r="C10" s="15">
        <f>(('Zip 130 (2)'!C10/(1+Korting!$B$3)*(1-Korting!$B$2)*Prijsmutaties!$B$9))</f>
        <v>1154.3585380009088</v>
      </c>
      <c r="D10" s="15">
        <f>(('Zip 130 (2)'!D10/(1+Korting!$B$3)*(1-Korting!$B$2)*Prijsmutaties!$B$9))</f>
        <v>1204.707245050909</v>
      </c>
      <c r="E10" s="15">
        <f>(('Zip 130 (2)'!E10/(1+Korting!$B$3)*(1-Korting!$B$2)*Prijsmutaties!$B$9))</f>
        <v>1249.5633658772724</v>
      </c>
      <c r="F10" s="15">
        <f>(('Zip 130 (2)'!F10/(1+Korting!$B$3)*(1-Korting!$B$2)*Prijsmutaties!$B$9))</f>
        <v>1303.5737970763635</v>
      </c>
      <c r="G10" s="15">
        <f>(('Zip 130 (2)'!G10/(1+Korting!$B$3)*(1-Korting!$B$2)*Prijsmutaties!$B$9))</f>
        <v>1352.0916420518179</v>
      </c>
      <c r="H10" s="15">
        <f>(('Zip 130 (2)'!H10/(1+Korting!$B$3)*(1-Korting!$B$2)*Prijsmutaties!$B$9))</f>
        <v>1405.1866422136359</v>
      </c>
      <c r="I10" s="15">
        <f>(('Zip 130 (2)'!I10/(1+Korting!$B$3)*(1-Korting!$B$2)*Prijsmutaties!$B$9))</f>
        <v>1453.7044871890903</v>
      </c>
      <c r="J10" s="15">
        <f>(('Zip 130 (2)'!J10/(1+Korting!$B$3)*(1-Korting!$B$2)*Prijsmutaties!$B$9))</f>
        <v>1505.8840563136359</v>
      </c>
      <c r="K10" s="15">
        <f>(('Zip 130 (2)'!K10/(1+Korting!$B$3)*(1-Korting!$B$2)*Prijsmutaties!$B$9))</f>
        <v>1554.4019012890906</v>
      </c>
      <c r="L10" s="15">
        <f>(('Zip 130 (2)'!L10/(1+Korting!$B$3)*(1-Korting!$B$2)*Prijsmutaties!$B$9))</f>
        <v>1606.5814704136358</v>
      </c>
      <c r="M10" s="190">
        <f>(('Zip 130 (2)'!M10/(1+Korting!$B$3)*(1-Korting!$B$2)*Prijsmutaties!$B$9))</f>
        <v>1651.4375912399996</v>
      </c>
      <c r="N10" s="15">
        <f>(('Zip 130 (2)'!N10/(1+Korting!$B$3)*(1-Korting!$B$2)*Prijsmutaties!$B$9))</f>
        <v>1699.955436215454</v>
      </c>
      <c r="O10" s="15">
        <f>(('Zip 130 (2)'!O10/(1+Korting!$B$3)*(1-Korting!$B$2)*Prijsmutaties!$B$9))</f>
        <v>1752.1350053399997</v>
      </c>
      <c r="P10" s="15">
        <f>(('Zip 130 (2)'!P10/(1+Korting!$B$3)*(1-Korting!$B$2)*Prijsmutaties!$B$9))</f>
        <v>1805.2300055018177</v>
      </c>
      <c r="Q10" s="15">
        <f>(('Zip 130 (2)'!Q10/(1+Korting!$B$3)*(1-Korting!$B$2)*Prijsmutaties!$B$9))</f>
        <v>1855.5787125518179</v>
      </c>
      <c r="R10" s="15">
        <f>(('Zip 130 (2)'!R10/(1+Korting!$B$3)*(1-Korting!$B$2)*Prijsmutaties!$B$9))</f>
        <v>1904.0965575272724</v>
      </c>
      <c r="S10" s="15">
        <f>(('Zip 130 (2)'!S10/(1+Korting!$B$3)*(1-Korting!$B$2)*Prijsmutaties!$B$9))</f>
        <v>2024.9334544472724</v>
      </c>
      <c r="T10" s="15">
        <f>(('Zip 130 (2)'!T10/(1+Korting!$B$3)*(1-Korting!$B$2)*Prijsmutaties!$B$9))</f>
        <v>2033.1723337827266</v>
      </c>
      <c r="U10" s="15">
        <f>(('Zip 130 (2)'!U10/(1+Korting!$B$3)*(1-Korting!$B$2)*Prijsmutaties!$B$9))</f>
        <v>2045.0729372672724</v>
      </c>
      <c r="V10" s="190">
        <f>(('Zip 130 (2)'!V10/(1+Korting!$B$3)*(1-Korting!$B$2)*Prijsmutaties!$B$9))</f>
        <v>2061.5506959381814</v>
      </c>
      <c r="W10" s="15">
        <f>(('Zip 130 (2)'!W10/(1+Korting!$B$3)*(1-Korting!$B$2)*Prijsmutaties!$B$9))</f>
        <v>2075.2821614972727</v>
      </c>
      <c r="X10" s="158"/>
    </row>
    <row r="11" spans="1:24" ht="20.100000000000001" customHeight="1">
      <c r="A11" s="638"/>
      <c r="B11" s="13">
        <v>260</v>
      </c>
      <c r="C11" s="10">
        <f>(('Zip 130 (2)'!C11/(1+Korting!$B$3)*(1-Korting!$B$2)*Prijsmutaties!$B$9))</f>
        <v>1190.9757794918178</v>
      </c>
      <c r="D11" s="10">
        <f>(('Zip 130 (2)'!D11/(1+Korting!$B$3)*(1-Korting!$B$2)*Prijsmutaties!$B$9))</f>
        <v>1246.8170727654542</v>
      </c>
      <c r="E11" s="10">
        <f>(('Zip 130 (2)'!E11/(1+Korting!$B$3)*(1-Korting!$B$2)*Prijsmutaties!$B$9))</f>
        <v>1301.7429350018181</v>
      </c>
      <c r="F11" s="10">
        <f>(('Zip 130 (2)'!F11/(1+Korting!$B$3)*(1-Korting!$B$2)*Prijsmutaties!$B$9))</f>
        <v>1350.2607799772725</v>
      </c>
      <c r="G11" s="10">
        <f>(('Zip 130 (2)'!G11/(1+Korting!$B$3)*(1-Korting!$B$2)*Prijsmutaties!$B$9))</f>
        <v>1407.0175042881815</v>
      </c>
      <c r="H11" s="10">
        <f>(('Zip 130 (2)'!H11/(1+Korting!$B$3)*(1-Korting!$B$2)*Prijsmutaties!$B$9))</f>
        <v>1455.5353492636361</v>
      </c>
      <c r="I11" s="10">
        <f>(('Zip 130 (2)'!I11/(1+Korting!$B$3)*(1-Korting!$B$2)*Prijsmutaties!$B$9))</f>
        <v>1512.2920735745449</v>
      </c>
      <c r="J11" s="10">
        <f>(('Zip 130 (2)'!J11/(1+Korting!$B$3)*(1-Korting!$B$2)*Prijsmutaties!$B$9))</f>
        <v>1550.7401771399998</v>
      </c>
      <c r="K11" s="10">
        <f>(('Zip 130 (2)'!K11/(1+Korting!$B$3)*(1-Korting!$B$2)*Prijsmutaties!$B$9))</f>
        <v>1604.7506083390904</v>
      </c>
      <c r="L11" s="10">
        <f>(('Zip 130 (2)'!L11/(1+Korting!$B$3)*(1-Korting!$B$2)*Prijsmutaties!$B$9))</f>
        <v>1657.8456085009088</v>
      </c>
      <c r="M11" s="189">
        <f>(('Zip 130 (2)'!M11/(1+Korting!$B$3)*(1-Korting!$B$2)*Prijsmutaties!$B$9))</f>
        <v>1710.025177625454</v>
      </c>
      <c r="N11" s="10">
        <f>(('Zip 130 (2)'!N11/(1+Korting!$B$3)*(1-Korting!$B$2)*Prijsmutaties!$B$9))</f>
        <v>1766.7819019363633</v>
      </c>
      <c r="O11" s="10">
        <f>(('Zip 130 (2)'!O11/(1+Korting!$B$3)*(1-Korting!$B$2)*Prijsmutaties!$B$9))</f>
        <v>1818.9614710609087</v>
      </c>
      <c r="P11" s="10">
        <f>(('Zip 130 (2)'!P11/(1+Korting!$B$3)*(1-Korting!$B$2)*Prijsmutaties!$B$9))</f>
        <v>1871.1410401854541</v>
      </c>
      <c r="Q11" s="10">
        <f>(('Zip 130 (2)'!Q11/(1+Korting!$B$3)*(1-Korting!$B$2)*Prijsmutaties!$B$9))</f>
        <v>1926.066902421818</v>
      </c>
      <c r="R11" s="10">
        <f>(('Zip 130 (2)'!R11/(1+Korting!$B$3)*(1-Korting!$B$2)*Prijsmutaties!$B$9))</f>
        <v>1984.6544888072722</v>
      </c>
      <c r="S11" s="10">
        <f>(('Zip 130 (2)'!S11/(1+Korting!$B$3)*(1-Korting!$B$2)*Prijsmutaties!$B$9))</f>
        <v>2106.4068167645451</v>
      </c>
      <c r="T11" s="10">
        <f>(('Zip 130 (2)'!T11/(1+Korting!$B$3)*(1-Korting!$B$2)*Prijsmutaties!$B$9))</f>
        <v>2116.4765581745451</v>
      </c>
      <c r="U11" s="10">
        <f>(('Zip 130 (2)'!U11/(1+Korting!$B$3)*(1-Korting!$B$2)*Prijsmutaties!$B$9))</f>
        <v>2128.3771616590902</v>
      </c>
      <c r="V11" s="189">
        <f>(('Zip 130 (2)'!V11/(1+Korting!$B$3)*(1-Korting!$B$2)*Prijsmutaties!$B$9))</f>
        <v>2138.4469030690902</v>
      </c>
      <c r="W11" s="10">
        <f>(('Zip 130 (2)'!W11/(1+Korting!$B$3)*(1-Korting!$B$2)*Prijsmutaties!$B$9))</f>
        <v>2148.5166444790907</v>
      </c>
      <c r="X11" s="158"/>
    </row>
    <row r="12" spans="1:24" ht="20.100000000000001" customHeight="1">
      <c r="A12" s="638"/>
      <c r="B12" s="5">
        <v>280</v>
      </c>
      <c r="C12" s="15">
        <f>(('Zip 130 (2)'!C12/(1+Korting!$B$3)*(1-Korting!$B$2)*Prijsmutaties!$B$9))</f>
        <v>1226.6775899454542</v>
      </c>
      <c r="D12" s="15">
        <f>(('Zip 130 (2)'!D12/(1+Korting!$B$3)*(1-Korting!$B$2)*Prijsmutaties!$B$9))</f>
        <v>1283.4343142563632</v>
      </c>
      <c r="E12" s="15">
        <f>(('Zip 130 (2)'!E12/(1+Korting!$B$3)*(1-Korting!$B$2)*Prijsmutaties!$B$9))</f>
        <v>1336.5293144181815</v>
      </c>
      <c r="F12" s="15">
        <f>(('Zip 130 (2)'!F12/(1+Korting!$B$3)*(1-Korting!$B$2)*Prijsmutaties!$B$9))</f>
        <v>1390.5397456172723</v>
      </c>
      <c r="G12" s="15">
        <f>(('Zip 130 (2)'!G12/(1+Korting!$B$3)*(1-Korting!$B$2)*Prijsmutaties!$B$9))</f>
        <v>1447.2964699281815</v>
      </c>
      <c r="H12" s="15">
        <f>(('Zip 130 (2)'!H12/(1+Korting!$B$3)*(1-Korting!$B$2)*Prijsmutaties!$B$9))</f>
        <v>1499.4760390527272</v>
      </c>
      <c r="I12" s="15">
        <f>(('Zip 130 (2)'!I12/(1+Korting!$B$3)*(1-Korting!$B$2)*Prijsmutaties!$B$9))</f>
        <v>1558.0636254381814</v>
      </c>
      <c r="J12" s="15">
        <f>(('Zip 130 (2)'!J12/(1+Korting!$B$3)*(1-Korting!$B$2)*Prijsmutaties!$B$9))</f>
        <v>1594.6808669290908</v>
      </c>
      <c r="K12" s="15">
        <f>(('Zip 130 (2)'!K12/(1+Korting!$B$3)*(1-Korting!$B$2)*Prijsmutaties!$B$9))</f>
        <v>1649.606729165454</v>
      </c>
      <c r="L12" s="15">
        <f>(('Zip 130 (2)'!L12/(1+Korting!$B$3)*(1-Korting!$B$2)*Prijsmutaties!$B$9))</f>
        <v>1705.4480224390907</v>
      </c>
      <c r="M12" s="190">
        <f>(('Zip 130 (2)'!M12/(1+Korting!$B$3)*(1-Korting!$B$2)*Prijsmutaties!$B$9))</f>
        <v>1756.7121605263633</v>
      </c>
      <c r="N12" s="15">
        <f>(('Zip 130 (2)'!N12/(1+Korting!$B$3)*(1-Korting!$B$2)*Prijsmutaties!$B$9))</f>
        <v>1812.5534537999997</v>
      </c>
      <c r="O12" s="15">
        <f>(('Zip 130 (2)'!O12/(1+Korting!$B$3)*(1-Korting!$B$2)*Prijsmutaties!$B$9))</f>
        <v>1869.3101781109087</v>
      </c>
      <c r="P12" s="15">
        <f>(('Zip 130 (2)'!P12/(1+Korting!$B$3)*(1-Korting!$B$2)*Prijsmutaties!$B$9))</f>
        <v>1924.2360403472721</v>
      </c>
      <c r="Q12" s="15">
        <f>(('Zip 130 (2)'!Q12/(1+Korting!$B$3)*(1-Korting!$B$2)*Prijsmutaties!$B$9))</f>
        <v>1974.5847473972724</v>
      </c>
      <c r="R12" s="15">
        <f>(('Zip 130 (2)'!R12/(1+Korting!$B$3)*(1-Korting!$B$2)*Prijsmutaties!$B$9))</f>
        <v>2033.1723337827266</v>
      </c>
      <c r="S12" s="15">
        <f>(('Zip 130 (2)'!S12/(1+Korting!$B$3)*(1-Korting!$B$2)*Prijsmutaties!$B$9))</f>
        <v>2156.7555238145451</v>
      </c>
      <c r="T12" s="15">
        <f>(('Zip 130 (2)'!T12/(1+Korting!$B$3)*(1-Korting!$B$2)*Prijsmutaties!$B$9))</f>
        <v>2172.3178514481815</v>
      </c>
      <c r="U12" s="15">
        <f>(('Zip 130 (2)'!U12/(1+Korting!$B$3)*(1-Korting!$B$2)*Prijsmutaties!$B$9))</f>
        <v>2182.3875928581815</v>
      </c>
      <c r="V12" s="190">
        <f>(('Zip 130 (2)'!V12/(1+Korting!$B$3)*(1-Korting!$B$2)*Prijsmutaties!$B$9))</f>
        <v>2195.2036273799995</v>
      </c>
      <c r="W12" s="15">
        <f>(('Zip 130 (2)'!W12/(1+Korting!$B$3)*(1-Korting!$B$2)*Prijsmutaties!$B$9))</f>
        <v>2208.9350929390907</v>
      </c>
      <c r="X12" s="158"/>
    </row>
    <row r="13" spans="1:24" ht="20.100000000000001" customHeight="1">
      <c r="A13" s="638"/>
      <c r="B13" s="13">
        <v>300</v>
      </c>
      <c r="C13" s="10">
        <f>(('Zip 130 (2)'!C13/(1+Korting!$B$3)*(1-Korting!$B$2)*Prijsmutaties!$B$9))</f>
        <v>1249.5633658772724</v>
      </c>
      <c r="D13" s="10">
        <f>(('Zip 130 (2)'!D13/(1+Korting!$B$3)*(1-Korting!$B$2)*Prijsmutaties!$B$9))</f>
        <v>1311.8126764118178</v>
      </c>
      <c r="E13" s="10">
        <f>(('Zip 130 (2)'!E13/(1+Korting!$B$3)*(1-Korting!$B$2)*Prijsmutaties!$B$9))</f>
        <v>1368.5694007227269</v>
      </c>
      <c r="F13" s="10">
        <f>(('Zip 130 (2)'!F13/(1+Korting!$B$3)*(1-Korting!$B$2)*Prijsmutaties!$B$9))</f>
        <v>1418.9181077727271</v>
      </c>
      <c r="G13" s="10">
        <f>(('Zip 130 (2)'!G13/(1+Korting!$B$3)*(1-Korting!$B$2)*Prijsmutaties!$B$9))</f>
        <v>1479.3365562327269</v>
      </c>
      <c r="H13" s="10">
        <f>(('Zip 130 (2)'!H13/(1+Korting!$B$3)*(1-Korting!$B$2)*Prijsmutaties!$B$9))</f>
        <v>1537.9241426181816</v>
      </c>
      <c r="I13" s="10">
        <f>(('Zip 130 (2)'!I13/(1+Korting!$B$3)*(1-Korting!$B$2)*Prijsmutaties!$B$9))</f>
        <v>1586.441987593636</v>
      </c>
      <c r="J13" s="10">
        <f>(('Zip 130 (2)'!J13/(1+Korting!$B$3)*(1-Korting!$B$2)*Prijsmutaties!$B$9))</f>
        <v>1619.3975049354544</v>
      </c>
      <c r="K13" s="10">
        <f>(('Zip 130 (2)'!K13/(1+Korting!$B$3)*(1-Korting!$B$2)*Prijsmutaties!$B$9))</f>
        <v>1681.6468154699996</v>
      </c>
      <c r="L13" s="10">
        <f>(('Zip 130 (2)'!L13/(1+Korting!$B$3)*(1-Korting!$B$2)*Prijsmutaties!$B$9))</f>
        <v>1736.5726777063635</v>
      </c>
      <c r="M13" s="189">
        <f>(('Zip 130 (2)'!M13/(1+Korting!$B$3)*(1-Korting!$B$2)*Prijsmutaties!$B$9))</f>
        <v>1795.1602640918181</v>
      </c>
      <c r="N13" s="10">
        <f>(('Zip 130 (2)'!N13/(1+Korting!$B$3)*(1-Korting!$B$2)*Prijsmutaties!$B$9))</f>
        <v>1859.2404367009087</v>
      </c>
      <c r="O13" s="10">
        <f>(('Zip 130 (2)'!O13/(1+Korting!$B$3)*(1-Korting!$B$2)*Prijsmutaties!$B$9))</f>
        <v>1909.5891437509088</v>
      </c>
      <c r="P13" s="10">
        <f>(('Zip 130 (2)'!P13/(1+Korting!$B$3)*(1-Korting!$B$2)*Prijsmutaties!$B$9))</f>
        <v>1966.3458680618178</v>
      </c>
      <c r="Q13" s="10">
        <f>(('Zip 130 (2)'!Q13/(1+Korting!$B$3)*(1-Korting!$B$2)*Prijsmutaties!$B$9))</f>
        <v>2014.8637130372724</v>
      </c>
      <c r="R13" s="10">
        <f>(('Zip 130 (2)'!R13/(1+Korting!$B$3)*(1-Korting!$B$2)*Prijsmutaties!$B$9))</f>
        <v>2073.4512994227271</v>
      </c>
      <c r="S13" s="10">
        <f>(('Zip 130 (2)'!S13/(1+Korting!$B$3)*(1-Korting!$B$2)*Prijsmutaties!$B$9))</f>
        <v>2200.6962136036359</v>
      </c>
      <c r="T13" s="10">
        <f>(('Zip 130 (2)'!T13/(1+Korting!$B$3)*(1-Korting!$B$2)*Prijsmutaties!$B$9))</f>
        <v>2213.5122481254543</v>
      </c>
      <c r="U13" s="10">
        <f>(('Zip 130 (2)'!U13/(1+Korting!$B$3)*(1-Korting!$B$2)*Prijsmutaties!$B$9))</f>
        <v>2223.5819895354539</v>
      </c>
      <c r="V13" s="189">
        <f>(('Zip 130 (2)'!V13/(1+Korting!$B$3)*(1-Korting!$B$2)*Prijsmutaties!$B$9))</f>
        <v>2237.3134550945447</v>
      </c>
      <c r="W13" s="10">
        <f>(('Zip 130 (2)'!W13/(1+Korting!$B$3)*(1-Korting!$B$2)*Prijsmutaties!$B$9))</f>
        <v>2251.0449206536359</v>
      </c>
      <c r="X13" s="158"/>
    </row>
    <row r="14" spans="1:24" ht="20.100000000000001" customHeight="1">
      <c r="A14" s="638"/>
      <c r="B14" s="5">
        <v>320</v>
      </c>
      <c r="C14" s="15">
        <f>(('Zip 130 (2)'!C14/(1+Korting!$B$3)*(1-Korting!$B$2)*Prijsmutaties!$B$9))</f>
        <v>1422.5798319218179</v>
      </c>
      <c r="D14" s="15">
        <f>(('Zip 130 (2)'!D14/(1+Korting!$B$3)*(1-Korting!$B$2)*Prijsmutaties!$B$9))</f>
        <v>1492.1525907545451</v>
      </c>
      <c r="E14" s="15">
        <f>(('Zip 130 (2)'!E14/(1+Korting!$B$3)*(1-Korting!$B$2)*Prijsmutaties!$B$9))</f>
        <v>1554.4019012890906</v>
      </c>
      <c r="F14" s="15">
        <f>(('Zip 130 (2)'!F14/(1+Korting!$B$3)*(1-Korting!$B$2)*Prijsmutaties!$B$9))</f>
        <v>1612.9894876745452</v>
      </c>
      <c r="G14" s="15">
        <f>(('Zip 130 (2)'!G14/(1+Korting!$B$3)*(1-Korting!$B$2)*Prijsmutaties!$B$9))</f>
        <v>1681.6468154699996</v>
      </c>
      <c r="H14" s="15">
        <f>(('Zip 130 (2)'!H14/(1+Korting!$B$3)*(1-Korting!$B$2)*Prijsmutaties!$B$9))</f>
        <v>1748.4732811909084</v>
      </c>
      <c r="I14" s="15">
        <f>(('Zip 130 (2)'!I14/(1+Korting!$B$3)*(1-Korting!$B$2)*Prijsmutaties!$B$9))</f>
        <v>1802.4837123899995</v>
      </c>
      <c r="J14" s="15">
        <f>(('Zip 130 (2)'!J14/(1+Korting!$B$3)*(1-Korting!$B$2)*Prijsmutaties!$B$9))</f>
        <v>1839.1009538809087</v>
      </c>
      <c r="K14" s="15">
        <f>(('Zip 130 (2)'!K14/(1+Korting!$B$3)*(1-Korting!$B$2)*Prijsmutaties!$B$9))</f>
        <v>1909.5891437509088</v>
      </c>
      <c r="L14" s="15">
        <f>(('Zip 130 (2)'!L14/(1+Korting!$B$3)*(1-Korting!$B$2)*Prijsmutaties!$B$9))</f>
        <v>1968.1767301363632</v>
      </c>
      <c r="M14" s="190">
        <f>(('Zip 130 (2)'!M14/(1+Korting!$B$3)*(1-Korting!$B$2)*Prijsmutaties!$B$9))</f>
        <v>2031.3414717081812</v>
      </c>
      <c r="N14" s="15">
        <f>(('Zip 130 (2)'!N14/(1+Korting!$B$3)*(1-Korting!$B$2)*Prijsmutaties!$B$9))</f>
        <v>2103.6605236527271</v>
      </c>
      <c r="O14" s="15">
        <f>(('Zip 130 (2)'!O14/(1+Korting!$B$3)*(1-Korting!$B$2)*Prijsmutaties!$B$9))</f>
        <v>2160.4172479636359</v>
      </c>
      <c r="P14" s="15">
        <f>(('Zip 130 (2)'!P14/(1+Korting!$B$3)*(1-Korting!$B$2)*Prijsmutaties!$B$9))</f>
        <v>2229.0745757590903</v>
      </c>
      <c r="Q14" s="15">
        <f>(('Zip 130 (2)'!Q14/(1+Korting!$B$3)*(1-Korting!$B$2)*Prijsmutaties!$B$9))</f>
        <v>2287.6621621445447</v>
      </c>
      <c r="R14" s="15">
        <f>(('Zip 130 (2)'!R14/(1+Korting!$B$3)*(1-Korting!$B$2)*Prijsmutaties!$B$9))</f>
        <v>2354.488627865454</v>
      </c>
      <c r="S14" s="15">
        <f>(('Zip 130 (2)'!S14/(1+Korting!$B$3)*(1-Korting!$B$2)*Prijsmutaties!$B$9))</f>
        <v>2366.3892313499996</v>
      </c>
      <c r="T14" s="15">
        <f>(('Zip 130 (2)'!T14/(1+Korting!$B$3)*(1-Korting!$B$2)*Prijsmutaties!$B$9))</f>
        <v>2376.4589727599996</v>
      </c>
      <c r="U14" s="15">
        <f>(('Zip 130 (2)'!U14/(1+Korting!$B$3)*(1-Korting!$B$2)*Prijsmutaties!$B$9))</f>
        <v>2391.1058693563632</v>
      </c>
      <c r="V14" s="190">
        <f>(('Zip 130 (2)'!V14/(1+Korting!$B$3)*(1-Korting!$B$2)*Prijsmutaties!$B$9))</f>
        <v>2403.0064728409088</v>
      </c>
      <c r="W14" s="15">
        <f>(('Zip 130 (2)'!W14/(1+Korting!$B$3)*(1-Korting!$B$2)*Prijsmutaties!$B$9))</f>
        <v>2414.9070763254545</v>
      </c>
      <c r="X14" s="158"/>
    </row>
    <row r="15" spans="1:24" ht="20.100000000000001" customHeight="1">
      <c r="A15" s="638"/>
      <c r="B15" s="13">
        <v>340</v>
      </c>
      <c r="C15" s="225"/>
      <c r="D15" s="10">
        <f>(('Zip 130 (2)'!D15/(1+Korting!$B$3)*(1-Korting!$B$2)*Prijsmutaties!$B$9))</f>
        <v>1537.9241426181816</v>
      </c>
      <c r="E15" s="10">
        <f>(('Zip 130 (2)'!E15/(1+Korting!$B$3)*(1-Korting!$B$2)*Prijsmutaties!$B$9))</f>
        <v>1601.0888841899996</v>
      </c>
      <c r="F15" s="10">
        <f>(('Zip 130 (2)'!F15/(1+Korting!$B$3)*(1-Korting!$B$2)*Prijsmutaties!$B$9))</f>
        <v>1659.6764705754542</v>
      </c>
      <c r="G15" s="10">
        <f>(('Zip 130 (2)'!G15/(1+Korting!$B$3)*(1-Korting!$B$2)*Prijsmutaties!$B$9))</f>
        <v>1730.1646604454543</v>
      </c>
      <c r="H15" s="10">
        <f>(('Zip 130 (2)'!H15/(1+Korting!$B$3)*(1-Korting!$B$2)*Prijsmutaties!$B$9))</f>
        <v>1792.4139709799997</v>
      </c>
      <c r="I15" s="10">
        <f>(('Zip 130 (2)'!I15/(1+Korting!$B$3)*(1-Korting!$B$2)*Prijsmutaties!$B$9))</f>
        <v>1840.9318159554541</v>
      </c>
      <c r="J15" s="10">
        <f>(('Zip 130 (2)'!J15/(1+Korting!$B$3)*(1-Korting!$B$2)*Prijsmutaties!$B$9))</f>
        <v>1883.9570747072723</v>
      </c>
      <c r="K15" s="10">
        <f>(('Zip 130 (2)'!K15/(1+Korting!$B$3)*(1-Korting!$B$2)*Prijsmutaties!$B$9))</f>
        <v>1954.4452645772724</v>
      </c>
      <c r="L15" s="10">
        <f>(('Zip 130 (2)'!L15/(1+Korting!$B$3)*(1-Korting!$B$2)*Prijsmutaties!$B$9))</f>
        <v>2016.6945751118178</v>
      </c>
      <c r="M15" s="189">
        <f>(('Zip 130 (2)'!M15/(1+Korting!$B$3)*(1-Korting!$B$2)*Prijsmutaties!$B$9))</f>
        <v>2078.0284546090902</v>
      </c>
      <c r="N15" s="10">
        <f>(('Zip 130 (2)'!N15/(1+Korting!$B$3)*(1-Korting!$B$2)*Prijsmutaties!$B$9))</f>
        <v>2152.1783686281815</v>
      </c>
      <c r="O15" s="10">
        <f>(('Zip 130 (2)'!O15/(1+Korting!$B$3)*(1-Korting!$B$2)*Prijsmutaties!$B$9))</f>
        <v>2210.7659550136359</v>
      </c>
      <c r="P15" s="10">
        <f>(('Zip 130 (2)'!P15/(1+Korting!$B$3)*(1-Korting!$B$2)*Prijsmutaties!$B$9))</f>
        <v>2269.3535413990908</v>
      </c>
      <c r="Q15" s="10">
        <f>(('Zip 130 (2)'!Q15/(1+Korting!$B$3)*(1-Korting!$B$2)*Prijsmutaties!$B$9))</f>
        <v>2330.6874208963632</v>
      </c>
      <c r="R15" s="10">
        <f>(('Zip 130 (2)'!R15/(1+Korting!$B$3)*(1-Korting!$B$2)*Prijsmutaties!$B$9))</f>
        <v>2399.3447486918176</v>
      </c>
      <c r="S15" s="10">
        <f>(('Zip 130 (2)'!S15/(1+Korting!$B$3)*(1-Korting!$B$2)*Prijsmutaties!$B$9))</f>
        <v>2411.2453521763632</v>
      </c>
      <c r="T15" s="10">
        <f>(('Zip 130 (2)'!T15/(1+Korting!$B$3)*(1-Korting!$B$2)*Prijsmutaties!$B$9))</f>
        <v>2421.3150935863628</v>
      </c>
      <c r="U15" s="10">
        <f>(('Zip 130 (2)'!U15/(1+Korting!$B$3)*(1-Korting!$B$2)*Prijsmutaties!$B$9))</f>
        <v>2433.2156970709088</v>
      </c>
      <c r="V15" s="236"/>
      <c r="W15" s="225"/>
      <c r="X15" s="158"/>
    </row>
    <row r="16" spans="1:24" ht="20.100000000000001" customHeight="1">
      <c r="A16" s="638"/>
      <c r="B16" s="5">
        <v>360</v>
      </c>
      <c r="C16" s="226"/>
      <c r="D16" s="15">
        <f>(('Zip 130 (2)'!D16/(1+Korting!$B$3)*(1-Korting!$B$2)*Prijsmutaties!$B$9))</f>
        <v>1556.232763363636</v>
      </c>
      <c r="E16" s="15">
        <f>(('Zip 130 (2)'!E16/(1+Korting!$B$3)*(1-Korting!$B$2)*Prijsmutaties!$B$9))</f>
        <v>1619.3975049354544</v>
      </c>
      <c r="F16" s="15">
        <f>(('Zip 130 (2)'!F16/(1+Korting!$B$3)*(1-Korting!$B$2)*Prijsmutaties!$B$9))</f>
        <v>1681.6468154699996</v>
      </c>
      <c r="G16" s="15">
        <f>(('Zip 130 (2)'!G16/(1+Korting!$B$3)*(1-Korting!$B$2)*Prijsmutaties!$B$9))</f>
        <v>1752.1350053399997</v>
      </c>
      <c r="H16" s="15">
        <f>(('Zip 130 (2)'!H16/(1+Korting!$B$3)*(1-Korting!$B$2)*Prijsmutaties!$B$9))</f>
        <v>1815.2997469118179</v>
      </c>
      <c r="I16" s="15">
        <f>(('Zip 130 (2)'!I16/(1+Korting!$B$3)*(1-Korting!$B$2)*Prijsmutaties!$B$9))</f>
        <v>1871.1410401854541</v>
      </c>
      <c r="J16" s="15">
        <f>(('Zip 130 (2)'!J16/(1+Korting!$B$3)*(1-Korting!$B$2)*Prijsmutaties!$B$9))</f>
        <v>1907.7582816763634</v>
      </c>
      <c r="K16" s="15">
        <f>(('Zip 130 (2)'!K16/(1+Korting!$B$3)*(1-Korting!$B$2)*Prijsmutaties!$B$9))</f>
        <v>1974.5847473972724</v>
      </c>
      <c r="L16" s="15">
        <f>(('Zip 130 (2)'!L16/(1+Korting!$B$3)*(1-Korting!$B$2)*Prijsmutaties!$B$9))</f>
        <v>2035.0031958572722</v>
      </c>
      <c r="M16" s="190">
        <f>(('Zip 130 (2)'!M16/(1+Korting!$B$3)*(1-Korting!$B$2)*Prijsmutaties!$B$9))</f>
        <v>2098.1679374290902</v>
      </c>
      <c r="N16" s="15">
        <f>(('Zip 130 (2)'!N16/(1+Korting!$B$3)*(1-Korting!$B$2)*Prijsmutaties!$B$9))</f>
        <v>2170.4869893736363</v>
      </c>
      <c r="O16" s="15">
        <f>(('Zip 130 (2)'!O16/(1+Korting!$B$3)*(1-Korting!$B$2)*Prijsmutaties!$B$9))</f>
        <v>2233.6517309454539</v>
      </c>
      <c r="P16" s="15">
        <f>(('Zip 130 (2)'!P16/(1+Korting!$B$3)*(1-Korting!$B$2)*Prijsmutaties!$B$9))</f>
        <v>2295.9010414799995</v>
      </c>
      <c r="Q16" s="15">
        <f>(('Zip 130 (2)'!Q16/(1+Korting!$B$3)*(1-Korting!$B$2)*Prijsmutaties!$B$9))</f>
        <v>2352.6577657909088</v>
      </c>
      <c r="R16" s="15">
        <f>(('Zip 130 (2)'!R16/(1+Korting!$B$3)*(1-Korting!$B$2)*Prijsmutaties!$B$9))</f>
        <v>2419.4842315118176</v>
      </c>
      <c r="S16" s="15">
        <f>(('Zip 130 (2)'!S16/(1+Korting!$B$3)*(1-Korting!$B$2)*Prijsmutaties!$B$9))</f>
        <v>2431.3848349963628</v>
      </c>
      <c r="T16" s="226"/>
      <c r="U16" s="226"/>
      <c r="V16" s="237"/>
      <c r="W16" s="226"/>
      <c r="X16" s="158"/>
    </row>
    <row r="17" spans="1:24" ht="20.100000000000001" customHeight="1">
      <c r="A17" s="638"/>
      <c r="B17" s="13">
        <v>380</v>
      </c>
      <c r="C17" s="238"/>
      <c r="D17" s="238"/>
      <c r="E17" s="10">
        <f>(('Zip 130 (2)'!E17/(1+Korting!$B$3)*(1-Korting!$B$2)*Prijsmutaties!$B$9))</f>
        <v>1639.5369877554542</v>
      </c>
      <c r="F17" s="10">
        <f>(('Zip 130 (2)'!F17/(1+Korting!$B$3)*(1-Korting!$B$2)*Prijsmutaties!$B$9))</f>
        <v>1698.1245741409086</v>
      </c>
      <c r="G17" s="10">
        <f>(('Zip 130 (2)'!G17/(1+Korting!$B$3)*(1-Korting!$B$2)*Prijsmutaties!$B$9))</f>
        <v>1764.0356088245451</v>
      </c>
      <c r="H17" s="10">
        <f>(('Zip 130 (2)'!H17/(1+Korting!$B$3)*(1-Korting!$B$2)*Prijsmutaties!$B$9))</f>
        <v>1827.2003503963631</v>
      </c>
      <c r="I17" s="10">
        <f>(('Zip 130 (2)'!I17/(1+Korting!$B$3)*(1-Korting!$B$2)*Prijsmutaties!$B$9))</f>
        <v>1883.9570747072723</v>
      </c>
      <c r="J17" s="10">
        <f>(('Zip 130 (2)'!J17/(1+Korting!$B$3)*(1-Korting!$B$2)*Prijsmutaties!$B$9))</f>
        <v>1924.2360403472721</v>
      </c>
      <c r="K17" s="10">
        <f>(('Zip 130 (2)'!K17/(1+Korting!$B$3)*(1-Korting!$B$2)*Prijsmutaties!$B$9))</f>
        <v>1992.8933681427268</v>
      </c>
      <c r="L17" s="10">
        <f>(('Zip 130 (2)'!L17/(1+Korting!$B$3)*(1-Korting!$B$2)*Prijsmutaties!$B$9))</f>
        <v>2053.311816602727</v>
      </c>
      <c r="M17" s="189">
        <f>(('Zip 130 (2)'!M17/(1+Korting!$B$3)*(1-Korting!$B$2)*Prijsmutaties!$B$9))</f>
        <v>2111.8994029881815</v>
      </c>
      <c r="N17" s="10">
        <f>(('Zip 130 (2)'!N17/(1+Korting!$B$3)*(1-Korting!$B$2)*Prijsmutaties!$B$9))</f>
        <v>2186.9647480445451</v>
      </c>
      <c r="O17" s="10">
        <f>(('Zip 130 (2)'!O17/(1+Korting!$B$3)*(1-Korting!$B$2)*Prijsmutaties!$B$9))</f>
        <v>2245.5523344299995</v>
      </c>
      <c r="P17" s="10">
        <f>(('Zip 130 (2)'!P17/(1+Korting!$B$3)*(1-Korting!$B$2)*Prijsmutaties!$B$9))</f>
        <v>2304.1399208154539</v>
      </c>
      <c r="Q17" s="10">
        <f>(('Zip 130 (2)'!Q17/(1+Korting!$B$3)*(1-Korting!$B$2)*Prijsmutaties!$B$9))</f>
        <v>2364.5583692754544</v>
      </c>
      <c r="R17" s="10">
        <f>(('Zip 130 (2)'!R17/(1+Korting!$B$3)*(1-Korting!$B$2)*Prijsmutaties!$B$9))</f>
        <v>2433.2156970709088</v>
      </c>
      <c r="S17" s="238"/>
      <c r="T17" s="238"/>
      <c r="U17" s="238"/>
      <c r="V17" s="239"/>
      <c r="W17" s="238"/>
      <c r="X17" s="158"/>
    </row>
    <row r="18" spans="1:24" ht="20.100000000000001" customHeight="1">
      <c r="A18" s="638"/>
      <c r="B18" s="5">
        <v>400</v>
      </c>
      <c r="C18" s="226"/>
      <c r="D18" s="226"/>
      <c r="E18" s="15">
        <f>(('Zip 130 (2)'!E18/(1+Korting!$B$3)*(1-Korting!$B$2)*Prijsmutaties!$B$9))</f>
        <v>1649.606729165454</v>
      </c>
      <c r="F18" s="15">
        <f>(('Zip 130 (2)'!F18/(1+Korting!$B$3)*(1-Korting!$B$2)*Prijsmutaties!$B$9))</f>
        <v>1713.6869017745453</v>
      </c>
      <c r="G18" s="15">
        <f>(('Zip 130 (2)'!G18/(1+Korting!$B$3)*(1-Korting!$B$2)*Prijsmutaties!$B$9))</f>
        <v>1780.5133674954541</v>
      </c>
      <c r="H18" s="15">
        <f>(('Zip 130 (2)'!H18/(1+Korting!$B$3)*(1-Korting!$B$2)*Prijsmutaties!$B$9))</f>
        <v>1840.9318159554541</v>
      </c>
      <c r="I18" s="15">
        <f>(('Zip 130 (2)'!I18/(1+Korting!$B$3)*(1-Korting!$B$2)*Prijsmutaties!$B$9))</f>
        <v>1897.6885402663631</v>
      </c>
      <c r="J18" s="15">
        <f>(('Zip 130 (2)'!J18/(1+Korting!$B$3)*(1-Korting!$B$2)*Prijsmutaties!$B$9))</f>
        <v>1936.1366438318178</v>
      </c>
      <c r="K18" s="15">
        <f>(('Zip 130 (2)'!K18/(1+Korting!$B$3)*(1-Korting!$B$2)*Prijsmutaties!$B$9))</f>
        <v>2002.9631095527268</v>
      </c>
      <c r="L18" s="15">
        <f>(('Zip 130 (2)'!L18/(1+Korting!$B$3)*(1-Korting!$B$2)*Prijsmutaties!$B$9))</f>
        <v>2063.3815580127271</v>
      </c>
      <c r="M18" s="190">
        <f>(('Zip 130 (2)'!M18/(1+Korting!$B$3)*(1-Korting!$B$2)*Prijsmutaties!$B$9))</f>
        <v>2128.3771616590902</v>
      </c>
      <c r="N18" s="15">
        <f>(('Zip 130 (2)'!N18/(1+Korting!$B$3)*(1-Korting!$B$2)*Prijsmutaties!$B$9))</f>
        <v>2200.6962136036359</v>
      </c>
      <c r="O18" s="15">
        <f>(('Zip 130 (2)'!O18/(1+Korting!$B$3)*(1-Korting!$B$2)*Prijsmutaties!$B$9))</f>
        <v>2261.1146620636359</v>
      </c>
      <c r="P18" s="15">
        <f>(('Zip 130 (2)'!P18/(1+Korting!$B$3)*(1-Korting!$B$2)*Prijsmutaties!$B$9))</f>
        <v>2320.6176794863627</v>
      </c>
      <c r="Q18" s="15">
        <f>(('Zip 130 (2)'!Q18/(1+Korting!$B$3)*(1-Korting!$B$2)*Prijsmutaties!$B$9))</f>
        <v>2379.2052658718176</v>
      </c>
      <c r="R18" s="226"/>
      <c r="S18" s="226"/>
      <c r="T18" s="226"/>
      <c r="U18" s="226"/>
      <c r="V18" s="237"/>
      <c r="W18" s="226"/>
      <c r="X18" s="158"/>
    </row>
    <row r="19" spans="1:24" ht="20.100000000000001" customHeight="1">
      <c r="A19" s="638"/>
      <c r="B19" s="13">
        <v>420</v>
      </c>
      <c r="C19" s="225"/>
      <c r="D19" s="225"/>
      <c r="E19" s="225"/>
      <c r="F19" s="10">
        <f>(('Zip 130 (2)'!F19/(1+Korting!$B$3)*(1-Korting!$B$2)*Prijsmutaties!$B$9))</f>
        <v>1723.7566431845448</v>
      </c>
      <c r="G19" s="10">
        <f>(('Zip 130 (2)'!G19/(1+Korting!$B$3)*(1-Korting!$B$2)*Prijsmutaties!$B$9))</f>
        <v>1790.5831089054543</v>
      </c>
      <c r="H19" s="10">
        <f>(('Zip 130 (2)'!H19/(1+Korting!$B$3)*(1-Korting!$B$2)*Prijsmutaties!$B$9))</f>
        <v>1857.4095746263633</v>
      </c>
      <c r="I19" s="10">
        <f>(('Zip 130 (2)'!I19/(1+Korting!$B$3)*(1-Korting!$B$2)*Prijsmutaties!$B$9))</f>
        <v>1915.997161011818</v>
      </c>
      <c r="J19" s="10">
        <f>(('Zip 130 (2)'!J19/(1+Korting!$B$3)*(1-Korting!$B$2)*Prijsmutaties!$B$9))</f>
        <v>1948.0372473163632</v>
      </c>
      <c r="K19" s="10">
        <f>(('Zip 130 (2)'!K19/(1+Korting!$B$3)*(1-Korting!$B$2)*Prijsmutaties!$B$9))</f>
        <v>2019.440868223636</v>
      </c>
      <c r="L19" s="10">
        <f>(('Zip 130 (2)'!L19/(1+Korting!$B$3)*(1-Korting!$B$2)*Prijsmutaties!$B$9))</f>
        <v>2079.8593166836358</v>
      </c>
      <c r="M19" s="189">
        <f>(('Zip 130 (2)'!M19/(1+Korting!$B$3)*(1-Korting!$B$2)*Prijsmutaties!$B$9))</f>
        <v>2142.1086272181815</v>
      </c>
      <c r="N19" s="10">
        <f>(('Zip 130 (2)'!N19/(1+Korting!$B$3)*(1-Korting!$B$2)*Prijsmutaties!$B$9))</f>
        <v>2217.1739722745451</v>
      </c>
      <c r="O19" s="10">
        <f>(('Zip 130 (2)'!O19/(1+Korting!$B$3)*(1-Korting!$B$2)*Prijsmutaties!$B$9))</f>
        <v>2272.0998345109083</v>
      </c>
      <c r="P19" s="10">
        <f>(('Zip 130 (2)'!P19/(1+Korting!$B$3)*(1-Korting!$B$2)*Prijsmutaties!$B$9))</f>
        <v>2334.349145045454</v>
      </c>
      <c r="Q19" s="10">
        <f>(('Zip 130 (2)'!Q19/(1+Korting!$B$3)*(1-Korting!$B$2)*Prijsmutaties!$B$9))</f>
        <v>2392.9367314309084</v>
      </c>
      <c r="R19" s="225"/>
      <c r="S19" s="225"/>
      <c r="T19" s="225"/>
      <c r="U19" s="225"/>
      <c r="V19" s="236"/>
      <c r="W19" s="225"/>
      <c r="X19" s="158"/>
    </row>
    <row r="20" spans="1:24" ht="20.100000000000001" customHeight="1">
      <c r="A20" s="638"/>
      <c r="B20" s="5">
        <v>440</v>
      </c>
      <c r="C20" s="240"/>
      <c r="D20" s="240"/>
      <c r="E20" s="240"/>
      <c r="F20" s="15">
        <f>(('Zip 130 (2)'!F20/(1+Korting!$B$3)*(1-Korting!$B$2)*Prijsmutaties!$B$9))</f>
        <v>1740.2344018554543</v>
      </c>
      <c r="G20" s="15">
        <f>(('Zip 130 (2)'!G20/(1+Korting!$B$3)*(1-Korting!$B$2)*Prijsmutaties!$B$9))</f>
        <v>1808.8917296509089</v>
      </c>
      <c r="H20" s="15">
        <f>(('Zip 130 (2)'!H20/(1+Korting!$B$3)*(1-Korting!$B$2)*Prijsmutaties!$B$9))</f>
        <v>1871.1410401854541</v>
      </c>
      <c r="I20" s="15">
        <f>(('Zip 130 (2)'!I20/(1+Korting!$B$3)*(1-Korting!$B$2)*Prijsmutaties!$B$9))</f>
        <v>1926.066902421818</v>
      </c>
      <c r="J20" s="15">
        <f>(('Zip 130 (2)'!J20/(1+Korting!$B$3)*(1-Korting!$B$2)*Prijsmutaties!$B$9))</f>
        <v>1962.684143912727</v>
      </c>
      <c r="K20" s="15">
        <f>(('Zip 130 (2)'!K20/(1+Korting!$B$3)*(1-Korting!$B$2)*Prijsmutaties!$B$9))</f>
        <v>2031.3414717081812</v>
      </c>
      <c r="L20" s="15">
        <f>(('Zip 130 (2)'!L20/(1+Korting!$B$3)*(1-Korting!$B$2)*Prijsmutaties!$B$9))</f>
        <v>2091.7599201681815</v>
      </c>
      <c r="M20" s="190">
        <f>(('Zip 130 (2)'!M20/(1+Korting!$B$3)*(1-Korting!$B$2)*Prijsmutaties!$B$9))</f>
        <v>2154.9246617399995</v>
      </c>
      <c r="N20" s="15">
        <f>(('Zip 130 (2)'!N20/(1+Korting!$B$3)*(1-Korting!$B$2)*Prijsmutaties!$B$9))</f>
        <v>2227.2437136845447</v>
      </c>
      <c r="O20" s="15">
        <f>(('Zip 130 (2)'!O20/(1+Korting!$B$3)*(1-Korting!$B$2)*Prijsmutaties!$B$9))</f>
        <v>2287.6621621445447</v>
      </c>
      <c r="P20" s="15">
        <f>(('Zip 130 (2)'!P20/(1+Korting!$B$3)*(1-Korting!$B$2)*Prijsmutaties!$B$9))</f>
        <v>2352.6577657909088</v>
      </c>
      <c r="Q20" s="240"/>
      <c r="R20" s="240"/>
      <c r="S20" s="240"/>
      <c r="T20" s="240"/>
      <c r="U20" s="240"/>
      <c r="V20" s="241"/>
      <c r="W20" s="240"/>
      <c r="X20" s="158"/>
    </row>
    <row r="21" spans="1:24" ht="20.100000000000001" customHeight="1">
      <c r="A21" s="638"/>
      <c r="B21" s="13">
        <v>460</v>
      </c>
      <c r="C21" s="225"/>
      <c r="D21" s="225"/>
      <c r="E21" s="225"/>
      <c r="F21" s="225"/>
      <c r="G21" s="10">
        <f>(('Zip 130 (2)'!G21/(1+Korting!$B$3)*(1-Korting!$B$2)*Prijsmutaties!$B$9))</f>
        <v>1820.7923331354539</v>
      </c>
      <c r="H21" s="10">
        <f>(('Zip 130 (2)'!H21/(1+Korting!$B$3)*(1-Korting!$B$2)*Prijsmutaties!$B$9))</f>
        <v>1883.9570747072723</v>
      </c>
      <c r="I21" s="10">
        <f>(('Zip 130 (2)'!I21/(1+Korting!$B$3)*(1-Korting!$B$2)*Prijsmutaties!$B$9))</f>
        <v>1942.5446610927268</v>
      </c>
      <c r="J21" s="10">
        <f>(('Zip 130 (2)'!J21/(1+Korting!$B$3)*(1-Korting!$B$2)*Prijsmutaties!$B$9))</f>
        <v>1978.2464715463632</v>
      </c>
      <c r="K21" s="10">
        <f>(('Zip 130 (2)'!K21/(1+Korting!$B$3)*(1-Korting!$B$2)*Prijsmutaties!$B$9))</f>
        <v>2045.0729372672724</v>
      </c>
      <c r="L21" s="10">
        <f>(('Zip 130 (2)'!L21/(1+Korting!$B$3)*(1-Korting!$B$2)*Prijsmutaties!$B$9))</f>
        <v>2106.4068167645451</v>
      </c>
      <c r="M21" s="189">
        <f>(('Zip 130 (2)'!M21/(1+Korting!$B$3)*(1-Korting!$B$2)*Prijsmutaties!$B$9))</f>
        <v>2168.6561272990907</v>
      </c>
      <c r="N21" s="10">
        <f>(('Zip 130 (2)'!N21/(1+Korting!$B$3)*(1-Korting!$B$2)*Prijsmutaties!$B$9))</f>
        <v>2243.7214723554539</v>
      </c>
      <c r="O21" s="10">
        <f>(('Zip 130 (2)'!O21/(1+Korting!$B$3)*(1-Korting!$B$2)*Prijsmutaties!$B$9))</f>
        <v>2302.3090587409088</v>
      </c>
      <c r="P21" s="225"/>
      <c r="Q21" s="225"/>
      <c r="R21" s="225"/>
      <c r="S21" s="225"/>
      <c r="T21" s="225"/>
      <c r="U21" s="225"/>
      <c r="V21" s="236"/>
      <c r="W21" s="225"/>
      <c r="X21" s="158"/>
    </row>
    <row r="22" spans="1:24" ht="20.100000000000001" customHeight="1">
      <c r="A22" s="638"/>
      <c r="B22" s="5">
        <v>480</v>
      </c>
      <c r="C22" s="226"/>
      <c r="D22" s="226"/>
      <c r="E22" s="226"/>
      <c r="F22" s="226"/>
      <c r="G22" s="15">
        <f>(('Zip 130 (2)'!G22/(1+Korting!$B$3)*(1-Korting!$B$2)*Prijsmutaties!$B$9))</f>
        <v>1835.4392297318179</v>
      </c>
      <c r="H22" s="15">
        <f>(('Zip 130 (2)'!H22/(1+Korting!$B$3)*(1-Korting!$B$2)*Prijsmutaties!$B$9))</f>
        <v>1895.8576781918177</v>
      </c>
      <c r="I22" s="15">
        <f>(('Zip 130 (2)'!I22/(1+Korting!$B$3)*(1-Korting!$B$2)*Prijsmutaties!$B$9))</f>
        <v>1952.614402502727</v>
      </c>
      <c r="J22" s="15">
        <f>(('Zip 130 (2)'!J22/(1+Korting!$B$3)*(1-Korting!$B$2)*Prijsmutaties!$B$9))</f>
        <v>1991.0625060681814</v>
      </c>
      <c r="K22" s="15">
        <f>(('Zip 130 (2)'!K22/(1+Korting!$B$3)*(1-Korting!$B$2)*Prijsmutaties!$B$9))</f>
        <v>2061.5506959381814</v>
      </c>
      <c r="L22" s="15">
        <f>(('Zip 130 (2)'!L22/(1+Korting!$B$3)*(1-Korting!$B$2)*Prijsmutaties!$B$9))</f>
        <v>2118.3074202490907</v>
      </c>
      <c r="M22" s="190">
        <f>(('Zip 130 (2)'!M22/(1+Korting!$B$3)*(1-Korting!$B$2)*Prijsmutaties!$B$9))</f>
        <v>2180.5567307836359</v>
      </c>
      <c r="N22" s="15">
        <f>(('Zip 130 (2)'!N22/(1+Korting!$B$3)*(1-Korting!$B$2)*Prijsmutaties!$B$9))</f>
        <v>2255.6220758399995</v>
      </c>
      <c r="O22" s="226"/>
      <c r="P22" s="226"/>
      <c r="Q22" s="226"/>
      <c r="R22" s="226"/>
      <c r="S22" s="226"/>
      <c r="T22" s="226"/>
      <c r="U22" s="226"/>
      <c r="V22" s="237"/>
      <c r="W22" s="226"/>
      <c r="X22" s="158"/>
    </row>
    <row r="23" spans="1:24" ht="20.100000000000001" customHeight="1">
      <c r="A23" s="638"/>
      <c r="B23" s="13">
        <v>500</v>
      </c>
      <c r="C23" s="238"/>
      <c r="D23" s="238"/>
      <c r="E23" s="238"/>
      <c r="F23" s="238"/>
      <c r="G23" s="238"/>
      <c r="H23" s="10">
        <f>(('Zip 130 (2)'!H23/(1+Korting!$B$3)*(1-Korting!$B$2)*Prijsmutaties!$B$9))</f>
        <v>1909.5891437509088</v>
      </c>
      <c r="I23" s="10">
        <f>(('Zip 130 (2)'!I23/(1+Korting!$B$3)*(1-Korting!$B$2)*Prijsmutaties!$B$9))</f>
        <v>1968.1767301363632</v>
      </c>
      <c r="J23" s="10">
        <f>(('Zip 130 (2)'!J23/(1+Korting!$B$3)*(1-Korting!$B$2)*Prijsmutaties!$B$9))</f>
        <v>2006.6248337018178</v>
      </c>
      <c r="K23" s="10">
        <f>(('Zip 130 (2)'!K23/(1+Korting!$B$3)*(1-Korting!$B$2)*Prijsmutaties!$B$9))</f>
        <v>2073.4512994227271</v>
      </c>
      <c r="L23" s="10">
        <f>(('Zip 130 (2)'!L23/(1+Korting!$B$3)*(1-Korting!$B$2)*Prijsmutaties!$B$9))</f>
        <v>2136.6160409945451</v>
      </c>
      <c r="M23" s="189">
        <f>(('Zip 130 (2)'!M23/(1+Korting!$B$3)*(1-Korting!$B$2)*Prijsmutaties!$B$9))</f>
        <v>2198.8653515290903</v>
      </c>
      <c r="N23" s="10">
        <f>(('Zip 130 (2)'!N23/(1+Korting!$B$3)*(1-Korting!$B$2)*Prijsmutaties!$B$9))</f>
        <v>2272.0998345109083</v>
      </c>
      <c r="O23" s="238"/>
      <c r="P23" s="238"/>
      <c r="Q23" s="238"/>
      <c r="R23" s="238"/>
      <c r="S23" s="238"/>
      <c r="T23" s="238"/>
      <c r="U23" s="238"/>
      <c r="V23" s="239"/>
      <c r="W23" s="238"/>
      <c r="X23" s="158"/>
    </row>
    <row r="24" spans="1:24" ht="20.100000000000001" customHeight="1">
      <c r="A24" s="638"/>
      <c r="B24" s="113"/>
      <c r="C24" s="639" t="s">
        <v>3</v>
      </c>
      <c r="D24" s="640"/>
      <c r="E24" s="640"/>
      <c r="F24" s="640"/>
      <c r="G24" s="641"/>
      <c r="H24" s="113"/>
      <c r="I24" s="113"/>
      <c r="J24" s="113"/>
      <c r="K24" s="113"/>
      <c r="L24" s="113"/>
      <c r="M24" s="157"/>
      <c r="N24" s="113"/>
      <c r="O24" s="113"/>
      <c r="P24" s="113"/>
      <c r="Q24" s="113"/>
      <c r="R24" s="113"/>
      <c r="S24" s="113"/>
      <c r="T24" s="113"/>
      <c r="U24" s="113"/>
      <c r="V24" s="157"/>
      <c r="W24" s="113"/>
      <c r="X24" s="158"/>
    </row>
    <row r="25" spans="1:24" ht="20.100000000000001" customHeight="1">
      <c r="A25" s="638"/>
      <c r="B25" s="105" t="s">
        <v>4</v>
      </c>
      <c r="C25" s="13">
        <v>100</v>
      </c>
      <c r="D25" s="13">
        <v>120</v>
      </c>
      <c r="E25" s="13">
        <v>140</v>
      </c>
      <c r="F25" s="13">
        <v>160</v>
      </c>
      <c r="G25" s="13">
        <v>180</v>
      </c>
      <c r="H25" s="13">
        <v>200</v>
      </c>
      <c r="I25" s="13">
        <v>220</v>
      </c>
      <c r="J25" s="13">
        <v>240</v>
      </c>
      <c r="K25" s="13">
        <v>260</v>
      </c>
      <c r="L25" s="13">
        <v>280</v>
      </c>
      <c r="M25" s="194">
        <v>300</v>
      </c>
      <c r="N25" s="13">
        <v>320</v>
      </c>
      <c r="O25" s="13">
        <v>340</v>
      </c>
      <c r="P25" s="13">
        <v>360</v>
      </c>
      <c r="Q25" s="13">
        <v>380</v>
      </c>
      <c r="R25" s="13">
        <v>400</v>
      </c>
      <c r="S25" s="13">
        <v>420</v>
      </c>
      <c r="T25" s="13">
        <v>440</v>
      </c>
      <c r="U25" s="13">
        <v>460</v>
      </c>
      <c r="V25" s="194">
        <v>480</v>
      </c>
      <c r="W25" s="13">
        <v>500</v>
      </c>
      <c r="X25" s="158"/>
    </row>
    <row r="26" spans="1:24" ht="20.100000000000001" customHeight="1">
      <c r="A26" s="638"/>
      <c r="B26" s="101" t="s">
        <v>5</v>
      </c>
      <c r="C26" s="15">
        <f>(('Zip 130 (2)'!C26/(1+Korting!$B$3)*(1-Korting!$B$2)*Prijsmutaties!$B$9))</f>
        <v>198.64853508818177</v>
      </c>
      <c r="D26" s="15">
        <f>(('Zip 130 (2)'!D26/(1+Korting!$B$3)*(1-Korting!$B$2)*Prijsmutaties!$B$9))</f>
        <v>198.64853508818177</v>
      </c>
      <c r="E26" s="15">
        <f>(('Zip 130 (2)'!E26/(1+Korting!$B$3)*(1-Korting!$B$2)*Prijsmutaties!$B$9))</f>
        <v>198.64853508818177</v>
      </c>
      <c r="F26" s="15">
        <f>(('Zip 130 (2)'!F26/(1+Korting!$B$3)*(1-Korting!$B$2)*Prijsmutaties!$B$9))</f>
        <v>198.64853508818177</v>
      </c>
      <c r="G26" s="15">
        <f>(('Zip 130 (2)'!G26/(1+Korting!$B$3)*(1-Korting!$B$2)*Prijsmutaties!$B$9))</f>
        <v>198.64853508818177</v>
      </c>
      <c r="H26" s="15">
        <f>(('Zip 130 (2)'!H26/(1+Korting!$B$3)*(1-Korting!$B$2)*Prijsmutaties!$B$9))</f>
        <v>255.40525939909082</v>
      </c>
      <c r="I26" s="15">
        <f>(('Zip 130 (2)'!I26/(1+Korting!$B$3)*(1-Korting!$B$2)*Prijsmutaties!$B$9))</f>
        <v>255.40525939909082</v>
      </c>
      <c r="J26" s="15">
        <f>(('Zip 130 (2)'!J26/(1+Korting!$B$3)*(1-Korting!$B$2)*Prijsmutaties!$B$9))</f>
        <v>255.40525939909082</v>
      </c>
      <c r="K26" s="15">
        <f>(('Zip 130 (2)'!K26/(1+Korting!$B$3)*(1-Korting!$B$2)*Prijsmutaties!$B$9))</f>
        <v>255.40525939909082</v>
      </c>
      <c r="L26" s="15">
        <f>(('Zip 130 (2)'!L26/(1+Korting!$B$3)*(1-Korting!$B$2)*Prijsmutaties!$B$9))</f>
        <v>255.40525939909082</v>
      </c>
      <c r="M26" s="190">
        <f>(('Zip 130 (2)'!M26/(1+Korting!$B$3)*(1-Korting!$B$2)*Prijsmutaties!$B$9))</f>
        <v>311.2465526727272</v>
      </c>
      <c r="N26" s="15">
        <f>(('Zip 130 (2)'!N26/(1+Korting!$B$3)*(1-Korting!$B$2)*Prijsmutaties!$B$9))</f>
        <v>311.2465526727272</v>
      </c>
      <c r="O26" s="15">
        <f>(('Zip 130 (2)'!O26/(1+Korting!$B$3)*(1-Korting!$B$2)*Prijsmutaties!$B$9))</f>
        <v>311.2465526727272</v>
      </c>
      <c r="P26" s="15">
        <f>(('Zip 130 (2)'!P26/(1+Korting!$B$3)*(1-Korting!$B$2)*Prijsmutaties!$B$9))</f>
        <v>311.2465526727272</v>
      </c>
      <c r="Q26" s="15">
        <f>(('Zip 130 (2)'!Q26/(1+Korting!$B$3)*(1-Korting!$B$2)*Prijsmutaties!$B$9))</f>
        <v>311.2465526727272</v>
      </c>
      <c r="R26" s="15">
        <f>(('Zip 130 (2)'!R26/(1+Korting!$B$3)*(1-Korting!$B$2)*Prijsmutaties!$B$9))</f>
        <v>368.00327698363628</v>
      </c>
      <c r="S26" s="15">
        <f>(('Zip 130 (2)'!S26/(1+Korting!$B$3)*(1-Korting!$B$2)*Prijsmutaties!$B$9))</f>
        <v>368.00327698363628</v>
      </c>
      <c r="T26" s="15">
        <f>(('Zip 130 (2)'!T26/(1+Korting!$B$3)*(1-Korting!$B$2)*Prijsmutaties!$B$9))</f>
        <v>368.00327698363628</v>
      </c>
      <c r="U26" s="15">
        <f>(('Zip 130 (2)'!U26/(1+Korting!$B$3)*(1-Korting!$B$2)*Prijsmutaties!$B$9))</f>
        <v>416.52112195909086</v>
      </c>
      <c r="V26" s="190">
        <f>(('Zip 130 (2)'!V26/(1+Korting!$B$3)*(1-Korting!$B$2)*Prijsmutaties!$B$9))</f>
        <v>416.52112195909086</v>
      </c>
      <c r="W26" s="15">
        <f>(('Zip 130 (2)'!W26/(1+Korting!$B$3)*(1-Korting!$B$2)*Prijsmutaties!$B$9))</f>
        <v>473.27784626999988</v>
      </c>
      <c r="X26" s="158"/>
    </row>
    <row r="27" spans="1:24" ht="20.100000000000001" customHeight="1">
      <c r="A27" s="638"/>
      <c r="B27" s="105" t="s">
        <v>6</v>
      </c>
      <c r="C27" s="10">
        <f>(('Zip 130 (2)'!C27/(1+Korting!$B$3)*(1-Korting!$B$2)*Prijsmutaties!$B$9))</f>
        <v>119.18912105290904</v>
      </c>
      <c r="D27" s="10">
        <f>(('Zip 130 (2)'!D27/(1+Korting!$B$3)*(1-Korting!$B$2)*Prijsmutaties!$B$9))</f>
        <v>119.18912105290904</v>
      </c>
      <c r="E27" s="10">
        <f>(('Zip 130 (2)'!E27/(1+Korting!$B$3)*(1-Korting!$B$2)*Prijsmutaties!$B$9))</f>
        <v>119.18912105290904</v>
      </c>
      <c r="F27" s="10">
        <f>(('Zip 130 (2)'!F27/(1+Korting!$B$3)*(1-Korting!$B$2)*Prijsmutaties!$B$9))</f>
        <v>119.18912105290904</v>
      </c>
      <c r="G27" s="10">
        <f>(('Zip 130 (2)'!G27/(1+Korting!$B$3)*(1-Korting!$B$2)*Prijsmutaties!$B$9))</f>
        <v>119.18912105290904</v>
      </c>
      <c r="H27" s="10">
        <f>(('Zip 130 (2)'!H27/(1+Korting!$B$3)*(1-Korting!$B$2)*Prijsmutaties!$B$9))</f>
        <v>153.2431556394545</v>
      </c>
      <c r="I27" s="10">
        <f>(('Zip 130 (2)'!I27/(1+Korting!$B$3)*(1-Korting!$B$2)*Prijsmutaties!$B$9))</f>
        <v>153.2431556394545</v>
      </c>
      <c r="J27" s="10">
        <f>(('Zip 130 (2)'!J27/(1+Korting!$B$3)*(1-Korting!$B$2)*Prijsmutaties!$B$9))</f>
        <v>153.2431556394545</v>
      </c>
      <c r="K27" s="10">
        <f>(('Zip 130 (2)'!K27/(1+Korting!$B$3)*(1-Korting!$B$2)*Prijsmutaties!$B$9))</f>
        <v>153.2431556394545</v>
      </c>
      <c r="L27" s="10">
        <f>(('Zip 130 (2)'!L27/(1+Korting!$B$3)*(1-Korting!$B$2)*Prijsmutaties!$B$9))</f>
        <v>153.2431556394545</v>
      </c>
      <c r="M27" s="189">
        <f>(('Zip 130 (2)'!M27/(1+Korting!$B$3)*(1-Korting!$B$2)*Prijsmutaties!$B$9))</f>
        <v>186.74793160363632</v>
      </c>
      <c r="N27" s="10">
        <f>(('Zip 130 (2)'!N27/(1+Korting!$B$3)*(1-Korting!$B$2)*Prijsmutaties!$B$9))</f>
        <v>186.74793160363632</v>
      </c>
      <c r="O27" s="10">
        <f>(('Zip 130 (2)'!O27/(1+Korting!$B$3)*(1-Korting!$B$2)*Prijsmutaties!$B$9))</f>
        <v>186.74793160363632</v>
      </c>
      <c r="P27" s="10">
        <f>(('Zip 130 (2)'!P27/(1+Korting!$B$3)*(1-Korting!$B$2)*Prijsmutaties!$B$9))</f>
        <v>186.74793160363632</v>
      </c>
      <c r="Q27" s="10">
        <f>(('Zip 130 (2)'!Q27/(1+Korting!$B$3)*(1-Korting!$B$2)*Prijsmutaties!$B$9))</f>
        <v>186.74793160363632</v>
      </c>
      <c r="R27" s="10">
        <f>(('Zip 130 (2)'!R27/(1+Korting!$B$3)*(1-Korting!$B$2)*Prijsmutaties!$B$9))</f>
        <v>220.80196619018176</v>
      </c>
      <c r="S27" s="10">
        <f>(('Zip 130 (2)'!S27/(1+Korting!$B$3)*(1-Korting!$B$2)*Prijsmutaties!$B$9))</f>
        <v>220.80196619018176</v>
      </c>
      <c r="T27" s="10">
        <f>(('Zip 130 (2)'!T27/(1+Korting!$B$3)*(1-Korting!$B$2)*Prijsmutaties!$B$9))</f>
        <v>220.80196619018176</v>
      </c>
      <c r="U27" s="10">
        <f>(('Zip 130 (2)'!U27/(1+Korting!$B$3)*(1-Korting!$B$2)*Prijsmutaties!$B$9))</f>
        <v>249.9126731754545</v>
      </c>
      <c r="V27" s="189">
        <f>(('Zip 130 (2)'!V27/(1+Korting!$B$3)*(1-Korting!$B$2)*Prijsmutaties!$B$9))</f>
        <v>249.9126731754545</v>
      </c>
      <c r="W27" s="10">
        <f>(('Zip 130 (2)'!W27/(1+Korting!$B$3)*(1-Korting!$B$2)*Prijsmutaties!$B$9))</f>
        <v>283.96670776199988</v>
      </c>
      <c r="X27" s="158"/>
    </row>
    <row r="28" spans="1:24" ht="20.100000000000001" customHeight="1">
      <c r="A28" s="158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 spans="1:24" ht="20.100000000000001" customHeight="1">
      <c r="A29" s="571" t="s">
        <v>7</v>
      </c>
      <c r="B29" s="571"/>
      <c r="C29" s="571"/>
      <c r="D29" s="571"/>
      <c r="E29" s="571"/>
      <c r="F29" s="571"/>
      <c r="G29" s="571"/>
      <c r="H29" s="571"/>
      <c r="I29" s="571"/>
      <c r="J29" s="571"/>
      <c r="K29" s="571"/>
      <c r="L29" s="571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 spans="1:24" ht="20.100000000000001" customHeight="1">
      <c r="A30" s="605" t="s">
        <v>301</v>
      </c>
      <c r="B30" s="540"/>
      <c r="C30" s="540"/>
      <c r="D30" s="540"/>
      <c r="E30" s="540"/>
      <c r="F30" s="540"/>
      <c r="G30" s="540"/>
      <c r="H30" s="540"/>
      <c r="I30" s="540"/>
      <c r="J30" s="541"/>
      <c r="K30" s="552">
        <f>(('Zip 130 (2)'!K30/(1+Korting!$B$3)*(1-Korting!$B$2)*Prijsmutaties!$G$9))</f>
        <v>-73.910733884297514</v>
      </c>
      <c r="L30" s="553">
        <f>(('Zip 130 (2)'!L30/(1+Korting!$B$3)*(1-Korting!$B$2)))</f>
        <v>0</v>
      </c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 spans="1:24" ht="20.100000000000001" customHeight="1">
      <c r="A31" s="542" t="s">
        <v>304</v>
      </c>
      <c r="B31" s="543"/>
      <c r="C31" s="543"/>
      <c r="D31" s="543"/>
      <c r="E31" s="543"/>
      <c r="F31" s="543"/>
      <c r="G31" s="543"/>
      <c r="H31" s="543"/>
      <c r="I31" s="543"/>
      <c r="J31" s="544"/>
      <c r="K31" s="550">
        <f>(('Zip 130 (2)'!K31/(1+Korting!$B$3)*(1-Korting!$B$2)*Prijsmutaties!$G$9))</f>
        <v>40.560768595041317</v>
      </c>
      <c r="L31" s="551">
        <f>(('Zip 130 (2)'!L31/(1+Korting!$B$3)*(1-Korting!$B$2)))</f>
        <v>0</v>
      </c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 spans="1:24" ht="20.100000000000001" customHeight="1">
      <c r="A32" s="539" t="s">
        <v>305</v>
      </c>
      <c r="B32" s="540"/>
      <c r="C32" s="540"/>
      <c r="D32" s="540"/>
      <c r="E32" s="540"/>
      <c r="F32" s="540"/>
      <c r="G32" s="540"/>
      <c r="H32" s="540"/>
      <c r="I32" s="540"/>
      <c r="J32" s="541"/>
      <c r="K32" s="552">
        <f>(('Zip 130 (2)'!K32/(1+Korting!$B$3)*(1-Korting!$B$2)*Prijsmutaties!$G$9))</f>
        <v>63.094528925619827</v>
      </c>
      <c r="L32" s="553">
        <f>(('Zip 130 (2)'!L32/(1+Korting!$B$3)*(1-Korting!$B$2)))</f>
        <v>0</v>
      </c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 spans="1:24" ht="20.100000000000001" customHeight="1">
      <c r="A33" s="542" t="s">
        <v>306</v>
      </c>
      <c r="B33" s="543"/>
      <c r="C33" s="543"/>
      <c r="D33" s="543"/>
      <c r="E33" s="543"/>
      <c r="F33" s="543"/>
      <c r="G33" s="543"/>
      <c r="H33" s="543"/>
      <c r="I33" s="543"/>
      <c r="J33" s="544"/>
      <c r="K33" s="550">
        <f>(('Zip 130 (2)'!K33/(1+Korting!$B$3)*(1-Korting!$B$2)*Prijsmutaties!$G$9))</f>
        <v>12.618905785123966</v>
      </c>
      <c r="L33" s="551">
        <f>(('Zip 130 (2)'!L33/(1+Korting!$B$3)*(1-Korting!$B$2)))</f>
        <v>0</v>
      </c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 spans="1:24" ht="20.100000000000001" customHeight="1">
      <c r="A34" s="605" t="s">
        <v>303</v>
      </c>
      <c r="B34" s="540"/>
      <c r="C34" s="540"/>
      <c r="D34" s="540"/>
      <c r="E34" s="540"/>
      <c r="F34" s="540"/>
      <c r="G34" s="540"/>
      <c r="H34" s="540"/>
      <c r="I34" s="540"/>
      <c r="J34" s="541"/>
      <c r="K34" s="552">
        <f>(('Zip 130 (2)'!K34/(1+Korting!$B$3)*(1-Korting!$B$2)*Prijsmutaties!$G$9))</f>
        <v>5.4081024793388428</v>
      </c>
      <c r="L34" s="553">
        <f>(('Zip 130 (2)'!L34/(1+Korting!$B$3)*(1-Korting!$B$2)))</f>
        <v>0</v>
      </c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</sheetData>
  <sheetProtection algorithmName="SHA-512" hashValue="3ooMeOFZbuFHVLTC7cQrYv1ytpm+t6pzPKZrOySk1JHO30WC7emoxiqCT08T2awoGSFcPRAUmiFXz6rkBP8CnQ==" saltValue="krjdc6Et1VRt2UCzIwZ1HQ==" spinCount="100000" sheet="1" objects="1" scenarios="1"/>
  <mergeCells count="14">
    <mergeCell ref="A29:L29"/>
    <mergeCell ref="A30:J30"/>
    <mergeCell ref="K30:L30"/>
    <mergeCell ref="C24:G24"/>
    <mergeCell ref="A1:R1"/>
    <mergeCell ref="A2:A27"/>
    <mergeCell ref="A34:J34"/>
    <mergeCell ref="K34:L34"/>
    <mergeCell ref="A31:J31"/>
    <mergeCell ref="K31:L31"/>
    <mergeCell ref="A32:J32"/>
    <mergeCell ref="K32:L32"/>
    <mergeCell ref="A33:J33"/>
    <mergeCell ref="K33:L33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Footer>&amp;L&amp;D&amp;C&amp;F
Tabblad &amp;A&amp;RInkoopprijslijst excl. BTW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7C9D-2D2B-46B5-968F-1858FDFBB5AE}">
  <sheetPr codeName="Blad14">
    <tabColor rgb="FF92D050"/>
  </sheetPr>
  <dimension ref="A1:AA53"/>
  <sheetViews>
    <sheetView zoomScale="80" zoomScaleNormal="80" workbookViewId="0">
      <selection activeCell="Y11" sqref="Y11"/>
    </sheetView>
  </sheetViews>
  <sheetFormatPr defaultRowHeight="12.75"/>
  <cols>
    <col min="1" max="1" width="43.83203125" customWidth="1"/>
    <col min="2" max="2" width="11.1640625" bestFit="1" customWidth="1"/>
    <col min="3" max="3" width="13.1640625" bestFit="1" customWidth="1"/>
    <col min="4" max="4" width="44" customWidth="1"/>
    <col min="5" max="5" width="10.83203125" customWidth="1"/>
    <col min="6" max="6" width="11.1640625" customWidth="1"/>
  </cols>
  <sheetData>
    <row r="1" spans="1:27" ht="122.25" customHeight="1">
      <c r="A1" s="537" t="s">
        <v>36</v>
      </c>
      <c r="B1" s="537"/>
      <c r="C1" s="537"/>
      <c r="D1" s="537"/>
      <c r="E1" s="537"/>
      <c r="F1" s="537"/>
    </row>
    <row r="2" spans="1:27" ht="24.95" customHeight="1">
      <c r="A2" s="663" t="s">
        <v>37</v>
      </c>
      <c r="B2" s="663"/>
      <c r="C2" s="3"/>
      <c r="D2" s="663" t="s">
        <v>38</v>
      </c>
      <c r="E2" s="663"/>
      <c r="F2" s="3"/>
      <c r="G2" s="662" t="s">
        <v>66</v>
      </c>
      <c r="H2" s="662"/>
      <c r="I2" s="662"/>
      <c r="J2" s="662"/>
      <c r="K2" s="662"/>
      <c r="L2" s="662"/>
      <c r="M2" s="662"/>
      <c r="N2" s="662"/>
      <c r="O2" s="66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4.95" customHeight="1">
      <c r="A3" s="37" t="s">
        <v>40</v>
      </c>
      <c r="B3" s="38">
        <v>54</v>
      </c>
      <c r="C3" s="3"/>
      <c r="D3" s="35" t="s">
        <v>39</v>
      </c>
      <c r="E3" s="36">
        <v>40</v>
      </c>
      <c r="F3" s="3"/>
      <c r="G3" s="663"/>
      <c r="H3" s="663"/>
      <c r="I3" s="663"/>
      <c r="J3" s="663"/>
      <c r="K3" s="663"/>
      <c r="L3" s="663"/>
      <c r="M3" s="663"/>
      <c r="N3" s="663"/>
      <c r="O3" s="663"/>
      <c r="P3" s="3"/>
      <c r="Q3" s="3"/>
      <c r="R3" s="663" t="s">
        <v>67</v>
      </c>
      <c r="S3" s="663"/>
      <c r="T3" s="663"/>
      <c r="U3" s="663"/>
      <c r="V3" s="663"/>
      <c r="W3" s="663"/>
      <c r="X3" s="663"/>
      <c r="Y3" s="663"/>
      <c r="Z3" s="663"/>
      <c r="AA3" s="3"/>
    </row>
    <row r="4" spans="1:27" ht="24.95" customHeight="1">
      <c r="C4" s="3"/>
      <c r="D4" s="37" t="s">
        <v>41</v>
      </c>
      <c r="E4" s="38">
        <v>45</v>
      </c>
      <c r="F4" s="3"/>
      <c r="G4" s="539" t="s">
        <v>68</v>
      </c>
      <c r="H4" s="541"/>
      <c r="I4" s="708">
        <v>17</v>
      </c>
      <c r="J4" s="709"/>
      <c r="K4" s="710"/>
      <c r="L4" s="711">
        <v>23</v>
      </c>
      <c r="M4" s="712"/>
      <c r="N4" s="712"/>
      <c r="O4" s="713"/>
      <c r="P4" s="3"/>
      <c r="Q4" s="3"/>
      <c r="R4" s="539"/>
      <c r="S4" s="540"/>
      <c r="T4" s="540"/>
      <c r="U4" s="540"/>
      <c r="V4" s="540"/>
      <c r="W4" s="540"/>
      <c r="X4" s="541"/>
      <c r="Y4" s="725"/>
      <c r="Z4" s="726"/>
      <c r="AA4" s="3"/>
    </row>
    <row r="5" spans="1:27" ht="24.95" customHeight="1">
      <c r="A5" s="3"/>
      <c r="B5" s="3"/>
      <c r="C5" s="3"/>
      <c r="D5" s="650" t="s">
        <v>42</v>
      </c>
      <c r="E5" s="642">
        <v>18</v>
      </c>
      <c r="F5" s="3"/>
      <c r="G5" s="542" t="s">
        <v>69</v>
      </c>
      <c r="H5" s="544"/>
      <c r="I5" s="720">
        <v>20</v>
      </c>
      <c r="J5" s="721"/>
      <c r="K5" s="722"/>
      <c r="L5" s="717">
        <v>25.5</v>
      </c>
      <c r="M5" s="718"/>
      <c r="N5" s="718"/>
      <c r="O5" s="719"/>
      <c r="P5" s="3"/>
      <c r="Q5" s="3"/>
      <c r="R5" s="542" t="s">
        <v>70</v>
      </c>
      <c r="S5" s="543"/>
      <c r="T5" s="543"/>
      <c r="U5" s="543"/>
      <c r="V5" s="543"/>
      <c r="W5" s="543"/>
      <c r="X5" s="544"/>
      <c r="Y5" s="615">
        <v>10</v>
      </c>
      <c r="Z5" s="616"/>
      <c r="AA5" s="3"/>
    </row>
    <row r="6" spans="1:27" ht="24.95" customHeight="1">
      <c r="A6" s="354" t="s">
        <v>43</v>
      </c>
      <c r="B6" s="723" t="s">
        <v>286</v>
      </c>
      <c r="C6" s="723" t="s">
        <v>307</v>
      </c>
      <c r="D6" s="651"/>
      <c r="E6" s="643"/>
      <c r="F6" s="2"/>
      <c r="G6" s="539" t="s">
        <v>71</v>
      </c>
      <c r="H6" s="541"/>
      <c r="I6" s="708">
        <v>21</v>
      </c>
      <c r="J6" s="709"/>
      <c r="K6" s="710"/>
      <c r="L6" s="711">
        <v>27</v>
      </c>
      <c r="M6" s="712"/>
      <c r="N6" s="712"/>
      <c r="O6" s="713"/>
      <c r="P6" s="3"/>
      <c r="Q6" s="3"/>
      <c r="R6" s="539" t="s">
        <v>72</v>
      </c>
      <c r="S6" s="540"/>
      <c r="T6" s="540"/>
      <c r="U6" s="540"/>
      <c r="V6" s="540"/>
      <c r="W6" s="540"/>
      <c r="X6" s="541"/>
      <c r="Y6" s="617">
        <v>13</v>
      </c>
      <c r="Z6" s="618"/>
      <c r="AA6" s="3"/>
    </row>
    <row r="7" spans="1:27" ht="24.95" customHeight="1">
      <c r="A7" s="355"/>
      <c r="B7" s="724"/>
      <c r="C7" s="723"/>
      <c r="D7" s="659" t="s">
        <v>44</v>
      </c>
      <c r="E7" s="644">
        <v>54</v>
      </c>
      <c r="F7" s="3"/>
      <c r="G7" s="542" t="s">
        <v>73</v>
      </c>
      <c r="H7" s="544"/>
      <c r="I7" s="720">
        <v>23</v>
      </c>
      <c r="J7" s="721"/>
      <c r="K7" s="722"/>
      <c r="L7" s="717">
        <v>28</v>
      </c>
      <c r="M7" s="718"/>
      <c r="N7" s="718"/>
      <c r="O7" s="719"/>
      <c r="P7" s="3"/>
      <c r="Q7" s="3"/>
      <c r="R7" s="542" t="s">
        <v>74</v>
      </c>
      <c r="S7" s="543"/>
      <c r="T7" s="543"/>
      <c r="U7" s="543"/>
      <c r="V7" s="543"/>
      <c r="W7" s="543"/>
      <c r="X7" s="544"/>
      <c r="Y7" s="615">
        <v>19</v>
      </c>
      <c r="Z7" s="616"/>
      <c r="AA7" s="3"/>
    </row>
    <row r="8" spans="1:27" ht="24.95" customHeight="1">
      <c r="A8" s="650" t="s">
        <v>45</v>
      </c>
      <c r="B8" s="642">
        <v>72</v>
      </c>
      <c r="C8" s="642">
        <v>-82</v>
      </c>
      <c r="D8" s="647"/>
      <c r="E8" s="645"/>
      <c r="F8" s="2"/>
      <c r="G8" s="539" t="s">
        <v>75</v>
      </c>
      <c r="H8" s="541"/>
      <c r="I8" s="708">
        <v>24</v>
      </c>
      <c r="J8" s="709"/>
      <c r="K8" s="710"/>
      <c r="L8" s="711">
        <v>30</v>
      </c>
      <c r="M8" s="712"/>
      <c r="N8" s="712"/>
      <c r="O8" s="713"/>
      <c r="P8" s="3"/>
      <c r="Q8" s="3"/>
      <c r="R8" s="539" t="s">
        <v>76</v>
      </c>
      <c r="S8" s="540"/>
      <c r="T8" s="540"/>
      <c r="U8" s="540"/>
      <c r="V8" s="540"/>
      <c r="W8" s="540"/>
      <c r="X8" s="541"/>
      <c r="Y8" s="617">
        <v>27</v>
      </c>
      <c r="Z8" s="618"/>
      <c r="AA8" s="3"/>
    </row>
    <row r="9" spans="1:27" ht="24.95" customHeight="1">
      <c r="A9" s="651"/>
      <c r="B9" s="643"/>
      <c r="C9" s="643"/>
      <c r="D9" s="650" t="s">
        <v>46</v>
      </c>
      <c r="E9" s="642">
        <v>81</v>
      </c>
      <c r="F9" s="2"/>
      <c r="G9" s="542" t="s">
        <v>77</v>
      </c>
      <c r="H9" s="544"/>
      <c r="I9" s="720">
        <v>27</v>
      </c>
      <c r="J9" s="721"/>
      <c r="K9" s="722"/>
      <c r="L9" s="717">
        <v>32</v>
      </c>
      <c r="M9" s="718"/>
      <c r="N9" s="718"/>
      <c r="O9" s="719"/>
      <c r="P9" s="3"/>
      <c r="Q9" s="3"/>
      <c r="R9" s="542" t="s">
        <v>78</v>
      </c>
      <c r="S9" s="543"/>
      <c r="T9" s="543"/>
      <c r="U9" s="543"/>
      <c r="V9" s="543"/>
      <c r="W9" s="543"/>
      <c r="X9" s="544"/>
      <c r="Y9" s="615">
        <v>57</v>
      </c>
      <c r="Z9" s="616"/>
      <c r="AA9" s="3"/>
    </row>
    <row r="10" spans="1:27" ht="24.95" customHeight="1">
      <c r="A10" s="659" t="s">
        <v>47</v>
      </c>
      <c r="B10" s="644">
        <v>188</v>
      </c>
      <c r="C10" s="644">
        <v>9</v>
      </c>
      <c r="D10" s="651"/>
      <c r="E10" s="643"/>
      <c r="F10" s="3"/>
      <c r="G10" s="539" t="s">
        <v>79</v>
      </c>
      <c r="H10" s="541"/>
      <c r="I10" s="708">
        <v>28</v>
      </c>
      <c r="J10" s="709"/>
      <c r="K10" s="710"/>
      <c r="L10" s="711">
        <v>34</v>
      </c>
      <c r="M10" s="712"/>
      <c r="N10" s="712"/>
      <c r="O10" s="713"/>
      <c r="P10" s="3"/>
      <c r="Q10" s="3"/>
      <c r="R10" s="605" t="s">
        <v>312</v>
      </c>
      <c r="S10" s="540"/>
      <c r="T10" s="540"/>
      <c r="U10" s="540"/>
      <c r="V10" s="540"/>
      <c r="W10" s="540"/>
      <c r="X10" s="541"/>
      <c r="Y10" s="552">
        <v>148.5</v>
      </c>
      <c r="Z10" s="553">
        <f>(('Opties &amp; accessories (2)'!Y10/(1+Korting!$B$3)*(1-Korting!$B$2)))</f>
        <v>122.72727272727273</v>
      </c>
      <c r="AA10" s="3"/>
    </row>
    <row r="11" spans="1:27" ht="24.95" customHeight="1">
      <c r="A11" s="647"/>
      <c r="B11" s="645"/>
      <c r="C11" s="645"/>
      <c r="D11" s="659" t="s">
        <v>48</v>
      </c>
      <c r="E11" s="644">
        <v>18</v>
      </c>
      <c r="F11" s="2"/>
      <c r="G11" s="542" t="s">
        <v>80</v>
      </c>
      <c r="H11" s="544"/>
      <c r="I11" s="720">
        <v>31</v>
      </c>
      <c r="J11" s="721"/>
      <c r="K11" s="722"/>
      <c r="L11" s="717">
        <v>35</v>
      </c>
      <c r="M11" s="718"/>
      <c r="N11" s="718"/>
      <c r="O11" s="719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24.95" customHeight="1">
      <c r="A12" s="650" t="s">
        <v>21</v>
      </c>
      <c r="B12" s="642">
        <v>87</v>
      </c>
      <c r="C12" s="642">
        <v>-82</v>
      </c>
      <c r="D12" s="647"/>
      <c r="E12" s="645"/>
      <c r="F12" s="3"/>
      <c r="G12" s="539" t="s">
        <v>81</v>
      </c>
      <c r="H12" s="541"/>
      <c r="I12" s="708">
        <v>32</v>
      </c>
      <c r="J12" s="709"/>
      <c r="K12" s="710"/>
      <c r="L12" s="711">
        <v>36</v>
      </c>
      <c r="M12" s="712"/>
      <c r="N12" s="712"/>
      <c r="O12" s="71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4.95" customHeight="1">
      <c r="A13" s="651"/>
      <c r="B13" s="643"/>
      <c r="C13" s="643"/>
      <c r="D13" s="2"/>
      <c r="E13" s="2"/>
      <c r="F13" s="2"/>
      <c r="G13" s="542" t="s">
        <v>82</v>
      </c>
      <c r="H13" s="544"/>
      <c r="I13" s="720">
        <v>26.5</v>
      </c>
      <c r="J13" s="721"/>
      <c r="K13" s="722"/>
      <c r="L13" s="717">
        <v>33</v>
      </c>
      <c r="M13" s="718"/>
      <c r="N13" s="718"/>
      <c r="O13" s="719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24.95" customHeight="1">
      <c r="A14" s="659" t="s">
        <v>22</v>
      </c>
      <c r="B14" s="644">
        <v>182.5</v>
      </c>
      <c r="C14" s="644" t="s">
        <v>308</v>
      </c>
      <c r="D14" s="2"/>
      <c r="E14" s="2"/>
      <c r="F14" s="2"/>
      <c r="G14" s="539" t="s">
        <v>83</v>
      </c>
      <c r="H14" s="541"/>
      <c r="I14" s="708">
        <v>42</v>
      </c>
      <c r="J14" s="709"/>
      <c r="K14" s="710"/>
      <c r="L14" s="711">
        <v>50</v>
      </c>
      <c r="M14" s="712"/>
      <c r="N14" s="712"/>
      <c r="O14" s="71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24.95" customHeight="1">
      <c r="A15" s="647"/>
      <c r="B15" s="645"/>
      <c r="C15" s="645"/>
      <c r="D15" s="662" t="s">
        <v>49</v>
      </c>
      <c r="E15" s="662"/>
      <c r="F15" s="2"/>
      <c r="G15" s="542" t="s">
        <v>84</v>
      </c>
      <c r="H15" s="544"/>
      <c r="I15" s="714">
        <v>10</v>
      </c>
      <c r="J15" s="715"/>
      <c r="K15" s="716"/>
      <c r="L15" s="717">
        <v>15</v>
      </c>
      <c r="M15" s="718"/>
      <c r="N15" s="718"/>
      <c r="O15" s="719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4.95" customHeight="1">
      <c r="A16" s="650" t="s">
        <v>23</v>
      </c>
      <c r="B16" s="642">
        <v>197</v>
      </c>
      <c r="C16" s="642">
        <v>45</v>
      </c>
      <c r="D16" s="663"/>
      <c r="E16" s="663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24.95" customHeight="1">
      <c r="A17" s="651"/>
      <c r="B17" s="643"/>
      <c r="C17" s="643"/>
      <c r="D17" s="650" t="s">
        <v>50</v>
      </c>
      <c r="E17" s="642">
        <v>36</v>
      </c>
      <c r="F17" s="2"/>
      <c r="G17" s="663" t="s">
        <v>85</v>
      </c>
      <c r="H17" s="663"/>
      <c r="I17" s="663"/>
      <c r="J17" s="663"/>
      <c r="K17" s="663"/>
      <c r="L17" s="663"/>
      <c r="M17" s="663"/>
      <c r="N17" s="663"/>
      <c r="O17" s="66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24.95" customHeight="1">
      <c r="A18" s="659" t="s">
        <v>51</v>
      </c>
      <c r="B18" s="644">
        <v>124</v>
      </c>
      <c r="C18" s="644">
        <v>0</v>
      </c>
      <c r="D18" s="651"/>
      <c r="E18" s="643"/>
      <c r="F18" s="2"/>
      <c r="G18" s="693" t="s">
        <v>86</v>
      </c>
      <c r="H18" s="694"/>
      <c r="I18" s="694"/>
      <c r="J18" s="694"/>
      <c r="K18" s="694"/>
      <c r="L18" s="694"/>
      <c r="M18" s="695"/>
      <c r="N18" s="702">
        <v>72</v>
      </c>
      <c r="O18" s="70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4.95" customHeight="1">
      <c r="A19" s="647"/>
      <c r="B19" s="645"/>
      <c r="C19" s="645"/>
      <c r="D19" s="659" t="s">
        <v>52</v>
      </c>
      <c r="E19" s="644">
        <v>49.5</v>
      </c>
      <c r="F19" s="2"/>
      <c r="G19" s="696"/>
      <c r="H19" s="697"/>
      <c r="I19" s="697"/>
      <c r="J19" s="697"/>
      <c r="K19" s="697"/>
      <c r="L19" s="697"/>
      <c r="M19" s="698"/>
      <c r="N19" s="704"/>
      <c r="O19" s="705"/>
      <c r="P19" s="2"/>
      <c r="Q19" s="2"/>
      <c r="R19" s="2"/>
      <c r="S19" s="2"/>
      <c r="T19" s="2"/>
      <c r="U19" s="689"/>
      <c r="V19" s="689"/>
      <c r="W19" s="689"/>
      <c r="X19" s="689"/>
      <c r="Y19" s="689"/>
      <c r="Z19" s="689"/>
      <c r="AA19" s="689"/>
    </row>
    <row r="20" spans="1:27" ht="24.95" customHeight="1">
      <c r="A20" s="2"/>
      <c r="B20" s="2"/>
      <c r="C20" s="2"/>
      <c r="D20" s="647"/>
      <c r="E20" s="645"/>
      <c r="F20" s="2"/>
      <c r="G20" s="699"/>
      <c r="H20" s="700"/>
      <c r="I20" s="700"/>
      <c r="J20" s="700"/>
      <c r="K20" s="700"/>
      <c r="L20" s="700"/>
      <c r="M20" s="701"/>
      <c r="N20" s="706"/>
      <c r="O20" s="70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4.95" customHeight="1">
      <c r="A21" s="2"/>
      <c r="B21" s="2"/>
      <c r="C21" s="2"/>
      <c r="D21" s="650" t="s">
        <v>53</v>
      </c>
      <c r="E21" s="642">
        <v>89</v>
      </c>
      <c r="F21" s="2"/>
      <c r="G21" s="542" t="s">
        <v>87</v>
      </c>
      <c r="H21" s="543"/>
      <c r="I21" s="543"/>
      <c r="J21" s="543"/>
      <c r="K21" s="543"/>
      <c r="L21" s="543"/>
      <c r="M21" s="544"/>
      <c r="N21" s="615">
        <v>82</v>
      </c>
      <c r="O21" s="61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24.95" customHeight="1">
      <c r="A22" s="662" t="s">
        <v>54</v>
      </c>
      <c r="B22" s="662"/>
      <c r="C22" s="3"/>
      <c r="D22" s="651"/>
      <c r="E22" s="64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24.95" customHeight="1">
      <c r="A23" s="663"/>
      <c r="B23" s="663"/>
      <c r="C23" s="2"/>
      <c r="D23" s="2"/>
      <c r="E23" s="2"/>
      <c r="F23" s="2"/>
      <c r="G23" s="690" t="s">
        <v>88</v>
      </c>
      <c r="H23" s="691"/>
      <c r="I23" s="691"/>
      <c r="J23" s="691"/>
      <c r="K23" s="691"/>
      <c r="L23" s="691"/>
      <c r="M23" s="691"/>
      <c r="N23" s="691"/>
      <c r="O23" s="691"/>
      <c r="P23" s="691"/>
      <c r="Q23" s="691"/>
      <c r="R23" s="692"/>
      <c r="S23" s="3"/>
      <c r="T23" s="690" t="s">
        <v>89</v>
      </c>
      <c r="U23" s="691"/>
      <c r="V23" s="691"/>
      <c r="W23" s="691"/>
      <c r="X23" s="691"/>
      <c r="Y23" s="691"/>
      <c r="Z23" s="692"/>
      <c r="AA23" s="3"/>
    </row>
    <row r="24" spans="1:27" ht="38.25" customHeight="1">
      <c r="A24" s="650" t="s">
        <v>55</v>
      </c>
      <c r="B24" s="642">
        <v>70</v>
      </c>
      <c r="C24" s="2"/>
      <c r="D24" s="2"/>
      <c r="E24" s="2"/>
      <c r="F24" s="2"/>
      <c r="G24" s="111"/>
      <c r="H24" s="680" t="s">
        <v>90</v>
      </c>
      <c r="I24" s="681"/>
      <c r="J24" s="117" t="s">
        <v>91</v>
      </c>
      <c r="K24" s="682" t="s">
        <v>92</v>
      </c>
      <c r="L24" s="683"/>
      <c r="M24" s="682" t="s">
        <v>93</v>
      </c>
      <c r="N24" s="683"/>
      <c r="O24" s="686" t="s">
        <v>94</v>
      </c>
      <c r="P24" s="664"/>
      <c r="Q24" s="682" t="s">
        <v>95</v>
      </c>
      <c r="R24" s="683"/>
      <c r="S24" s="3"/>
      <c r="T24" s="684"/>
      <c r="U24" s="685"/>
      <c r="V24" s="117" t="s">
        <v>91</v>
      </c>
      <c r="W24" s="118" t="s">
        <v>93</v>
      </c>
      <c r="X24" s="686" t="s">
        <v>94</v>
      </c>
      <c r="Y24" s="664"/>
      <c r="Z24" s="105" t="s">
        <v>95</v>
      </c>
      <c r="AA24" s="3"/>
    </row>
    <row r="25" spans="1:27" ht="24.95" customHeight="1">
      <c r="A25" s="651"/>
      <c r="B25" s="643"/>
      <c r="C25" s="2"/>
      <c r="D25" s="662" t="s">
        <v>56</v>
      </c>
      <c r="E25" s="662"/>
      <c r="F25" s="2"/>
      <c r="G25" s="119" t="s">
        <v>96</v>
      </c>
      <c r="H25" s="656">
        <v>400</v>
      </c>
      <c r="I25" s="657"/>
      <c r="J25" s="15">
        <v>506</v>
      </c>
      <c r="K25" s="582">
        <v>578</v>
      </c>
      <c r="L25" s="583"/>
      <c r="M25" s="656">
        <v>580</v>
      </c>
      <c r="N25" s="657"/>
      <c r="O25" s="660" t="s">
        <v>97</v>
      </c>
      <c r="P25" s="661"/>
      <c r="Q25" s="539" t="s">
        <v>97</v>
      </c>
      <c r="R25" s="541"/>
      <c r="S25" s="3"/>
      <c r="T25" s="687" t="s">
        <v>98</v>
      </c>
      <c r="U25" s="688"/>
      <c r="V25" s="15">
        <v>587</v>
      </c>
      <c r="W25" s="15">
        <v>661</v>
      </c>
      <c r="X25" s="656">
        <v>694</v>
      </c>
      <c r="Y25" s="657"/>
      <c r="Z25" s="15">
        <v>744</v>
      </c>
      <c r="AA25" s="3"/>
    </row>
    <row r="26" spans="1:27" ht="24.95" customHeight="1">
      <c r="A26" s="659" t="s">
        <v>57</v>
      </c>
      <c r="B26" s="644">
        <v>107</v>
      </c>
      <c r="C26" s="2"/>
      <c r="D26" s="663"/>
      <c r="E26" s="663"/>
      <c r="F26" s="2"/>
      <c r="G26" s="106" t="s">
        <v>99</v>
      </c>
      <c r="H26" s="674">
        <v>400</v>
      </c>
      <c r="I26" s="675"/>
      <c r="J26" s="10">
        <v>506</v>
      </c>
      <c r="K26" s="676" t="s">
        <v>97</v>
      </c>
      <c r="L26" s="677"/>
      <c r="M26" s="674">
        <v>580</v>
      </c>
      <c r="N26" s="675"/>
      <c r="O26" s="674">
        <v>607</v>
      </c>
      <c r="P26" s="675"/>
      <c r="Q26" s="678">
        <v>657</v>
      </c>
      <c r="R26" s="679"/>
      <c r="S26" s="3"/>
      <c r="T26" s="680" t="s">
        <v>100</v>
      </c>
      <c r="U26" s="681"/>
      <c r="V26" s="10">
        <v>627</v>
      </c>
      <c r="W26" s="10">
        <v>701</v>
      </c>
      <c r="X26" s="674">
        <v>734</v>
      </c>
      <c r="Y26" s="675"/>
      <c r="Z26" s="10">
        <v>784</v>
      </c>
      <c r="AA26" s="3"/>
    </row>
    <row r="27" spans="1:27" ht="24.95" customHeight="1">
      <c r="A27" s="647"/>
      <c r="B27" s="645"/>
      <c r="C27" s="2"/>
      <c r="D27" s="650" t="s">
        <v>58</v>
      </c>
      <c r="E27" s="642">
        <v>27</v>
      </c>
      <c r="F27" s="2"/>
      <c r="G27" s="120" t="s">
        <v>101</v>
      </c>
      <c r="H27" s="660" t="s">
        <v>97</v>
      </c>
      <c r="I27" s="661"/>
      <c r="J27" s="15">
        <v>546</v>
      </c>
      <c r="K27" s="660" t="s">
        <v>97</v>
      </c>
      <c r="L27" s="661"/>
      <c r="M27" s="656">
        <v>620</v>
      </c>
      <c r="N27" s="657"/>
      <c r="O27" s="656">
        <v>647</v>
      </c>
      <c r="P27" s="657"/>
      <c r="Q27" s="652">
        <v>697</v>
      </c>
      <c r="R27" s="653"/>
      <c r="S27" s="3"/>
      <c r="T27" s="654" t="s">
        <v>102</v>
      </c>
      <c r="U27" s="655"/>
      <c r="V27" s="15">
        <v>572</v>
      </c>
      <c r="W27" s="15">
        <v>646</v>
      </c>
      <c r="X27" s="656">
        <v>679</v>
      </c>
      <c r="Y27" s="657"/>
      <c r="Z27" s="15">
        <v>729</v>
      </c>
      <c r="AA27" s="3"/>
    </row>
    <row r="28" spans="1:27" ht="24.95" customHeight="1">
      <c r="A28" s="2"/>
      <c r="B28" s="2"/>
      <c r="C28" s="2"/>
      <c r="D28" s="651"/>
      <c r="E28" s="643"/>
      <c r="F28" s="2"/>
      <c r="G28" s="658" t="s">
        <v>103</v>
      </c>
      <c r="H28" s="658"/>
      <c r="I28" s="658"/>
      <c r="J28" s="658"/>
      <c r="K28" s="658"/>
      <c r="L28" s="658"/>
      <c r="M28" s="658"/>
      <c r="N28" s="658"/>
      <c r="O28" s="658"/>
      <c r="P28" s="658"/>
      <c r="Q28" s="658"/>
      <c r="R28" s="658"/>
      <c r="S28" s="658"/>
      <c r="T28" s="658"/>
      <c r="U28" s="658"/>
      <c r="V28" s="658"/>
      <c r="W28" s="658"/>
      <c r="X28" s="658"/>
      <c r="Y28" s="658"/>
      <c r="Z28" s="658"/>
      <c r="AA28" s="658"/>
    </row>
    <row r="29" spans="1:27" ht="24.95" customHeight="1">
      <c r="A29" s="2"/>
      <c r="B29" s="2"/>
      <c r="C29" s="2"/>
      <c r="D29" s="659" t="s">
        <v>310</v>
      </c>
      <c r="E29" s="644">
        <v>36</v>
      </c>
      <c r="F29" s="2"/>
    </row>
    <row r="30" spans="1:27" ht="24.95" customHeight="1">
      <c r="A30" s="662" t="s">
        <v>59</v>
      </c>
      <c r="B30" s="662"/>
      <c r="C30" s="3"/>
      <c r="D30" s="647"/>
      <c r="E30" s="645"/>
      <c r="F30" s="3"/>
    </row>
    <row r="31" spans="1:27" ht="24.95" customHeight="1">
      <c r="A31" s="663"/>
      <c r="B31" s="663"/>
      <c r="C31" s="2"/>
      <c r="D31" s="672" t="s">
        <v>311</v>
      </c>
      <c r="E31" s="642">
        <v>54</v>
      </c>
      <c r="F31" s="2"/>
    </row>
    <row r="32" spans="1:27" ht="24.95" customHeight="1">
      <c r="A32" s="650" t="s">
        <v>60</v>
      </c>
      <c r="B32" s="670">
        <v>8.5</v>
      </c>
      <c r="C32" s="3"/>
      <c r="D32" s="673"/>
      <c r="E32" s="643"/>
      <c r="F32" s="3"/>
    </row>
    <row r="33" spans="1:6" ht="24.95" customHeight="1">
      <c r="A33" s="651"/>
      <c r="B33" s="671"/>
      <c r="C33" s="2"/>
      <c r="D33" s="659"/>
      <c r="E33" s="644"/>
      <c r="F33" s="2"/>
    </row>
    <row r="34" spans="1:6" ht="24.95" customHeight="1">
      <c r="A34" s="659" t="s">
        <v>24</v>
      </c>
      <c r="B34" s="644">
        <v>13</v>
      </c>
      <c r="C34" s="3"/>
      <c r="D34" s="647"/>
      <c r="E34" s="645"/>
      <c r="F34" s="3"/>
    </row>
    <row r="35" spans="1:6" ht="24.95" customHeight="1">
      <c r="A35" s="647"/>
      <c r="B35" s="645"/>
      <c r="C35" s="2"/>
      <c r="D35" s="650"/>
      <c r="E35" s="642"/>
      <c r="F35" s="2"/>
    </row>
    <row r="36" spans="1:6" ht="24.95" customHeight="1">
      <c r="A36" s="650" t="s">
        <v>61</v>
      </c>
      <c r="B36" s="670">
        <v>0</v>
      </c>
      <c r="C36" s="3"/>
      <c r="D36" s="651"/>
      <c r="E36" s="643"/>
      <c r="F36" s="3"/>
    </row>
    <row r="37" spans="1:6" ht="24.95" customHeight="1">
      <c r="A37" s="651"/>
      <c r="B37" s="671"/>
      <c r="C37" s="2"/>
      <c r="D37" s="659"/>
      <c r="E37" s="644"/>
      <c r="F37" s="2"/>
    </row>
    <row r="38" spans="1:6" ht="24.95" customHeight="1">
      <c r="A38" s="646" t="s">
        <v>303</v>
      </c>
      <c r="B38" s="644">
        <v>6</v>
      </c>
      <c r="C38" s="2"/>
      <c r="D38" s="647"/>
      <c r="E38" s="645"/>
      <c r="F38" s="3"/>
    </row>
    <row r="39" spans="1:6" ht="24.95" customHeight="1">
      <c r="A39" s="647"/>
      <c r="B39" s="645"/>
      <c r="C39" s="3"/>
      <c r="D39" s="3"/>
      <c r="E39" s="3"/>
      <c r="F39" s="3"/>
    </row>
    <row r="40" spans="1:6" ht="24.95" customHeight="1">
      <c r="A40" s="663" t="s">
        <v>62</v>
      </c>
      <c r="B40" s="663"/>
      <c r="C40" s="3"/>
      <c r="D40" s="3"/>
      <c r="E40" s="3"/>
      <c r="F40" s="3"/>
    </row>
    <row r="41" spans="1:6" ht="24.95" customHeight="1">
      <c r="A41" s="648" t="s">
        <v>63</v>
      </c>
      <c r="B41" s="649"/>
      <c r="C41" s="3"/>
      <c r="D41" s="3"/>
      <c r="E41" s="3"/>
      <c r="F41" s="3"/>
    </row>
    <row r="42" spans="1:6" ht="24.95" customHeight="1">
      <c r="A42" s="574" t="s">
        <v>309</v>
      </c>
      <c r="B42" s="664"/>
      <c r="C42" s="3"/>
      <c r="D42" s="3"/>
      <c r="E42" s="3"/>
      <c r="F42" s="3"/>
    </row>
    <row r="43" spans="1:6" ht="24.95" customHeight="1">
      <c r="A43" s="665" t="s">
        <v>64</v>
      </c>
      <c r="B43" s="666"/>
      <c r="C43" s="3"/>
      <c r="D43" s="669" t="s">
        <v>65</v>
      </c>
      <c r="E43" s="669"/>
      <c r="F43" s="669"/>
    </row>
    <row r="44" spans="1:6" ht="24.95" customHeight="1">
      <c r="A44" s="667"/>
      <c r="B44" s="668"/>
      <c r="C44" s="2"/>
      <c r="D44" s="669"/>
      <c r="E44" s="669"/>
      <c r="F44" s="669"/>
    </row>
    <row r="45" spans="1:6" ht="24.95" customHeight="1">
      <c r="A45" s="2"/>
      <c r="B45" s="2"/>
      <c r="C45" s="2"/>
    </row>
    <row r="46" spans="1:6" ht="24.95" customHeight="1"/>
    <row r="47" spans="1:6" ht="24.95" customHeight="1"/>
    <row r="48" spans="1:6" ht="24.95" customHeight="1"/>
    <row r="49" ht="24.95" customHeight="1"/>
    <row r="50" ht="24.95" customHeight="1"/>
    <row r="51" ht="24.95" customHeight="1"/>
    <row r="52" ht="24.95" customHeight="1"/>
    <row r="53" ht="24.95" customHeight="1"/>
  </sheetData>
  <mergeCells count="159">
    <mergeCell ref="A1:F1"/>
    <mergeCell ref="A2:B2"/>
    <mergeCell ref="D2:E2"/>
    <mergeCell ref="G2:O3"/>
    <mergeCell ref="R3:Z3"/>
    <mergeCell ref="G4:H4"/>
    <mergeCell ref="I4:K4"/>
    <mergeCell ref="L4:O4"/>
    <mergeCell ref="R4:X4"/>
    <mergeCell ref="Y4:Z4"/>
    <mergeCell ref="Y5:Z5"/>
    <mergeCell ref="G6:H6"/>
    <mergeCell ref="I6:K6"/>
    <mergeCell ref="L6:O6"/>
    <mergeCell ref="R6:X6"/>
    <mergeCell ref="Y6:Z6"/>
    <mergeCell ref="D7:D8"/>
    <mergeCell ref="E7:E8"/>
    <mergeCell ref="G7:H7"/>
    <mergeCell ref="D5:D6"/>
    <mergeCell ref="E5:E6"/>
    <mergeCell ref="G5:H5"/>
    <mergeCell ref="I5:K5"/>
    <mergeCell ref="L5:O5"/>
    <mergeCell ref="R5:X5"/>
    <mergeCell ref="Y8:Z8"/>
    <mergeCell ref="R9:X9"/>
    <mergeCell ref="Y9:Z9"/>
    <mergeCell ref="I7:K7"/>
    <mergeCell ref="L7:O7"/>
    <mergeCell ref="R7:X7"/>
    <mergeCell ref="Y7:Z7"/>
    <mergeCell ref="A8:A9"/>
    <mergeCell ref="B8:B9"/>
    <mergeCell ref="G8:H8"/>
    <mergeCell ref="I8:K8"/>
    <mergeCell ref="L8:O8"/>
    <mergeCell ref="R8:X8"/>
    <mergeCell ref="D9:D10"/>
    <mergeCell ref="B6:B7"/>
    <mergeCell ref="C6:C7"/>
    <mergeCell ref="A12:A13"/>
    <mergeCell ref="B12:B13"/>
    <mergeCell ref="G12:H12"/>
    <mergeCell ref="I12:K12"/>
    <mergeCell ref="L12:O12"/>
    <mergeCell ref="G13:H13"/>
    <mergeCell ref="I13:K13"/>
    <mergeCell ref="L13:O13"/>
    <mergeCell ref="A10:A11"/>
    <mergeCell ref="B10:B11"/>
    <mergeCell ref="G10:H10"/>
    <mergeCell ref="I10:K10"/>
    <mergeCell ref="L10:O10"/>
    <mergeCell ref="D11:D12"/>
    <mergeCell ref="E11:E12"/>
    <mergeCell ref="G11:H11"/>
    <mergeCell ref="I11:K11"/>
    <mergeCell ref="L11:O11"/>
    <mergeCell ref="E9:E10"/>
    <mergeCell ref="G9:H9"/>
    <mergeCell ref="I9:K9"/>
    <mergeCell ref="L9:O9"/>
    <mergeCell ref="C8:C9"/>
    <mergeCell ref="C10:C11"/>
    <mergeCell ref="A14:A15"/>
    <mergeCell ref="B14:B15"/>
    <mergeCell ref="G14:H14"/>
    <mergeCell ref="I14:K14"/>
    <mergeCell ref="L14:O14"/>
    <mergeCell ref="D15:E16"/>
    <mergeCell ref="G15:H15"/>
    <mergeCell ref="I15:K15"/>
    <mergeCell ref="L15:O15"/>
    <mergeCell ref="A16:A17"/>
    <mergeCell ref="U19:AA19"/>
    <mergeCell ref="D21:D22"/>
    <mergeCell ref="E21:E22"/>
    <mergeCell ref="G21:M21"/>
    <mergeCell ref="N21:O21"/>
    <mergeCell ref="A22:B23"/>
    <mergeCell ref="G23:R23"/>
    <mergeCell ref="T23:Z23"/>
    <mergeCell ref="B16:B17"/>
    <mergeCell ref="D17:D18"/>
    <mergeCell ref="E17:E18"/>
    <mergeCell ref="G17:O17"/>
    <mergeCell ref="A18:A19"/>
    <mergeCell ref="B18:B19"/>
    <mergeCell ref="G18:M20"/>
    <mergeCell ref="N18:O20"/>
    <mergeCell ref="D19:D20"/>
    <mergeCell ref="E19:E20"/>
    <mergeCell ref="Q24:R24"/>
    <mergeCell ref="T24:U24"/>
    <mergeCell ref="X24:Y24"/>
    <mergeCell ref="D25:E26"/>
    <mergeCell ref="H25:I25"/>
    <mergeCell ref="K25:L25"/>
    <mergeCell ref="M25:N25"/>
    <mergeCell ref="O25:P25"/>
    <mergeCell ref="Q25:R25"/>
    <mergeCell ref="T25:U25"/>
    <mergeCell ref="H24:I24"/>
    <mergeCell ref="K24:L24"/>
    <mergeCell ref="M24:N24"/>
    <mergeCell ref="O24:P24"/>
    <mergeCell ref="X25:Y25"/>
    <mergeCell ref="A26:A27"/>
    <mergeCell ref="B26:B27"/>
    <mergeCell ref="H26:I26"/>
    <mergeCell ref="K26:L26"/>
    <mergeCell ref="M26:N26"/>
    <mergeCell ref="O26:P26"/>
    <mergeCell ref="Q26:R26"/>
    <mergeCell ref="T26:U26"/>
    <mergeCell ref="X26:Y26"/>
    <mergeCell ref="D31:D32"/>
    <mergeCell ref="E31:E32"/>
    <mergeCell ref="A32:A33"/>
    <mergeCell ref="B32:B33"/>
    <mergeCell ref="D33:D34"/>
    <mergeCell ref="E33:E34"/>
    <mergeCell ref="A34:A35"/>
    <mergeCell ref="B34:B35"/>
    <mergeCell ref="D35:D36"/>
    <mergeCell ref="A42:B42"/>
    <mergeCell ref="A43:B44"/>
    <mergeCell ref="D43:F44"/>
    <mergeCell ref="E35:E36"/>
    <mergeCell ref="A36:A37"/>
    <mergeCell ref="B36:B37"/>
    <mergeCell ref="D37:D38"/>
    <mergeCell ref="E37:E38"/>
    <mergeCell ref="A40:B40"/>
    <mergeCell ref="C12:C13"/>
    <mergeCell ref="C14:C15"/>
    <mergeCell ref="C16:C17"/>
    <mergeCell ref="C18:C19"/>
    <mergeCell ref="A38:A39"/>
    <mergeCell ref="B38:B39"/>
    <mergeCell ref="R10:X10"/>
    <mergeCell ref="Y10:Z10"/>
    <mergeCell ref="A41:B41"/>
    <mergeCell ref="A24:A25"/>
    <mergeCell ref="B24:B25"/>
    <mergeCell ref="Q27:R27"/>
    <mergeCell ref="T27:U27"/>
    <mergeCell ref="X27:Y27"/>
    <mergeCell ref="G28:AA28"/>
    <mergeCell ref="D29:D30"/>
    <mergeCell ref="E29:E30"/>
    <mergeCell ref="D27:D28"/>
    <mergeCell ref="E27:E28"/>
    <mergeCell ref="H27:I27"/>
    <mergeCell ref="K27:L27"/>
    <mergeCell ref="M27:N27"/>
    <mergeCell ref="O27:P27"/>
    <mergeCell ref="A30:B31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Blad15">
    <tabColor rgb="FF92D050"/>
    <pageSetUpPr fitToPage="1"/>
  </sheetPr>
  <dimension ref="A1:AC46"/>
  <sheetViews>
    <sheetView zoomScaleNormal="100" workbookViewId="0">
      <selection sqref="A1:G1"/>
    </sheetView>
  </sheetViews>
  <sheetFormatPr defaultRowHeight="12.75"/>
  <cols>
    <col min="1" max="1" width="43.83203125" customWidth="1"/>
    <col min="2" max="2" width="8.6640625" bestFit="1" customWidth="1"/>
    <col min="3" max="3" width="11.33203125" bestFit="1" customWidth="1"/>
    <col min="4" max="4" width="6.5" customWidth="1"/>
    <col min="5" max="5" width="44" customWidth="1"/>
    <col min="6" max="6" width="10.83203125" customWidth="1"/>
    <col min="7" max="7" width="5.83203125" customWidth="1"/>
    <col min="8" max="8" width="16.83203125" bestFit="1" customWidth="1"/>
    <col min="11" max="11" width="9.1640625" bestFit="1" customWidth="1"/>
    <col min="17" max="17" width="4.1640625" customWidth="1"/>
    <col min="18" max="18" width="4.6640625" customWidth="1"/>
    <col min="20" max="20" width="5.6640625" customWidth="1"/>
    <col min="22" max="22" width="12" customWidth="1"/>
    <col min="26" max="26" width="4.5" customWidth="1"/>
    <col min="29" max="30" width="13.6640625" customWidth="1"/>
  </cols>
  <sheetData>
    <row r="1" spans="1:28" ht="30.75">
      <c r="A1" s="537" t="s">
        <v>36</v>
      </c>
      <c r="B1" s="537"/>
      <c r="C1" s="537"/>
      <c r="D1" s="537"/>
      <c r="E1" s="537"/>
      <c r="F1" s="537"/>
      <c r="G1" s="537"/>
    </row>
    <row r="2" spans="1:28" ht="17.25">
      <c r="A2" s="663" t="s">
        <v>37</v>
      </c>
      <c r="B2" s="663"/>
      <c r="C2" s="353"/>
      <c r="D2" s="3"/>
      <c r="E2" s="663" t="s">
        <v>38</v>
      </c>
      <c r="F2" s="663"/>
      <c r="G2" s="3"/>
      <c r="H2" s="737" t="s">
        <v>482</v>
      </c>
      <c r="I2" s="738"/>
      <c r="J2" s="738"/>
      <c r="K2" s="738"/>
      <c r="L2" s="738"/>
      <c r="M2" s="738"/>
      <c r="N2" s="738"/>
      <c r="O2" s="738"/>
      <c r="P2" s="738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7.25">
      <c r="A3" s="244" t="s">
        <v>40</v>
      </c>
      <c r="B3" s="10">
        <f>(('Opties &amp; accessories (2)'!B3/(1+Korting!$B$3)*(1-Korting!$B$2)*Prijsmutaties!$G$9))</f>
        <v>48.672922314049586</v>
      </c>
      <c r="C3" s="368"/>
      <c r="D3" s="3"/>
      <c r="E3" s="35" t="s">
        <v>39</v>
      </c>
      <c r="F3" s="15">
        <f>(('Opties &amp; accessories (2)'!E3/(1+Korting!$B$3)*(1-Korting!$B$2)*Prijsmutaties!$G$9))</f>
        <v>36.054016528925622</v>
      </c>
      <c r="G3" s="3"/>
      <c r="H3" s="739"/>
      <c r="I3" s="739"/>
      <c r="J3" s="739"/>
      <c r="K3" s="739"/>
      <c r="L3" s="739"/>
      <c r="M3" s="739"/>
      <c r="N3" s="739"/>
      <c r="O3" s="739"/>
      <c r="P3" s="739"/>
      <c r="Q3" s="3"/>
      <c r="R3" s="3"/>
      <c r="S3" s="663" t="s">
        <v>67</v>
      </c>
      <c r="T3" s="663"/>
      <c r="U3" s="663"/>
      <c r="V3" s="663"/>
      <c r="W3" s="663"/>
      <c r="X3" s="663"/>
      <c r="Y3" s="663"/>
      <c r="Z3" s="663"/>
      <c r="AA3" s="663"/>
      <c r="AB3" s="3"/>
    </row>
    <row r="4" spans="1:28" ht="16.5">
      <c r="D4" s="3"/>
      <c r="E4" s="37" t="s">
        <v>41</v>
      </c>
      <c r="F4" s="10">
        <f>(('Opties &amp; accessories (2)'!E4/(1+Korting!$B$3)*(1-Korting!$B$2)*Prijsmutaties!$G$9))</f>
        <v>40.560768595041317</v>
      </c>
      <c r="G4" s="3"/>
      <c r="H4" s="539" t="s">
        <v>68</v>
      </c>
      <c r="I4" s="541"/>
      <c r="J4" s="552">
        <f>(('Opties &amp; accessories (2)'!I4/(1+Korting!$B$3)*(1-Korting!$B$2)*Prijsmutaties!$G$9))</f>
        <v>15.322957024793388</v>
      </c>
      <c r="K4" s="735">
        <f>(('Opties &amp; accessories (2)'!J4/(1+Korting!$B$3)*(1-Korting!$B$2)))</f>
        <v>0</v>
      </c>
      <c r="L4" s="553">
        <f>(('Opties &amp; accessories (2)'!K4/(1+Korting!$B$3)*(1-Korting!$B$2)))</f>
        <v>0</v>
      </c>
      <c r="M4" s="552">
        <f>(('Opties &amp; accessories (2)'!L4/(1+Korting!$B$3)*(1-Korting!$B$2)*Prijsmutaties!$G$9))</f>
        <v>20.731059504132229</v>
      </c>
      <c r="N4" s="735">
        <f>(('Opties &amp; accessories (2)'!M4/(1+Korting!$B$3)*(1-Korting!$B$2)))</f>
        <v>0</v>
      </c>
      <c r="O4" s="735">
        <f>(('Opties &amp; accessories (2)'!N4/(1+Korting!$B$3)*(1-Korting!$B$2)))</f>
        <v>0</v>
      </c>
      <c r="P4" s="553">
        <f>(('Opties &amp; accessories (2)'!O4/(1+Korting!$B$3)*(1-Korting!$B$2)))</f>
        <v>0</v>
      </c>
      <c r="Q4" s="3"/>
      <c r="R4" s="3"/>
      <c r="S4" s="539"/>
      <c r="T4" s="540"/>
      <c r="U4" s="540"/>
      <c r="V4" s="540"/>
      <c r="W4" s="540"/>
      <c r="X4" s="540"/>
      <c r="Y4" s="541"/>
      <c r="Z4" s="552"/>
      <c r="AA4" s="553"/>
      <c r="AB4" s="3"/>
    </row>
    <row r="5" spans="1:28" ht="16.5">
      <c r="A5" s="245"/>
      <c r="B5" s="245"/>
      <c r="C5" s="245"/>
      <c r="D5" s="3"/>
      <c r="E5" s="650" t="s">
        <v>42</v>
      </c>
      <c r="F5" s="740">
        <f>(('Opties &amp; accessories (2)'!E5/(1+Korting!$B$3)*(1-Korting!$B$2)*Prijsmutaties!$G$9))</f>
        <v>16.224307438016528</v>
      </c>
      <c r="G5" s="3"/>
      <c r="H5" s="542"/>
      <c r="I5" s="544"/>
      <c r="J5" s="550"/>
      <c r="K5" s="736"/>
      <c r="L5" s="551"/>
      <c r="M5" s="550"/>
      <c r="N5" s="736"/>
      <c r="O5" s="736"/>
      <c r="P5" s="551"/>
      <c r="Q5" s="3"/>
      <c r="R5" s="3"/>
      <c r="S5" s="542" t="s">
        <v>70</v>
      </c>
      <c r="T5" s="543"/>
      <c r="U5" s="543"/>
      <c r="V5" s="543"/>
      <c r="W5" s="543"/>
      <c r="X5" s="543"/>
      <c r="Y5" s="544"/>
      <c r="Z5" s="550">
        <f>(('Opties &amp; accessories (2)'!Y5/(1+Korting!$B$3)*(1-Korting!$B$2)*Prijsmutaties!$G$9))</f>
        <v>9.0135041322314056</v>
      </c>
      <c r="AA5" s="551">
        <f>(('Opties &amp; accessories (2)'!Z5/(1+Korting!$B$3)*(1-Korting!$B$2)))</f>
        <v>0</v>
      </c>
      <c r="AB5" s="3"/>
    </row>
    <row r="6" spans="1:28" ht="16.5">
      <c r="A6" s="748" t="s">
        <v>43</v>
      </c>
      <c r="B6" s="723" t="s">
        <v>286</v>
      </c>
      <c r="C6" s="723" t="s">
        <v>307</v>
      </c>
      <c r="D6" s="2"/>
      <c r="E6" s="651"/>
      <c r="F6" s="741">
        <f>(('Opties &amp; accessories (2)'!E6/(1+Korting!$B$3)*(1-Korting!$B$2)))</f>
        <v>0</v>
      </c>
      <c r="G6" s="2"/>
      <c r="H6" s="539" t="s">
        <v>71</v>
      </c>
      <c r="I6" s="541"/>
      <c r="J6" s="552">
        <f>(('Opties &amp; accessories (2)'!I6/(1+Korting!$B$3)*(1-Korting!$B$2)*Prijsmutaties!$G$9))</f>
        <v>18.928358677685949</v>
      </c>
      <c r="K6" s="735">
        <f>(('Opties &amp; accessories (2)'!J6/(1+Korting!$B$3)*(1-Korting!$B$2)))</f>
        <v>0</v>
      </c>
      <c r="L6" s="553">
        <f>(('Opties &amp; accessories (2)'!K6/(1+Korting!$B$3)*(1-Korting!$B$2)))</f>
        <v>0</v>
      </c>
      <c r="M6" s="552">
        <f>(('Opties &amp; accessories (2)'!L6/(1+Korting!$B$3)*(1-Korting!$B$2)*Prijsmutaties!$G$9))</f>
        <v>24.336461157024793</v>
      </c>
      <c r="N6" s="735">
        <f>(('Opties &amp; accessories (2)'!M6/(1+Korting!$B$3)*(1-Korting!$B$2)))</f>
        <v>0</v>
      </c>
      <c r="O6" s="735">
        <f>(('Opties &amp; accessories (2)'!N6/(1+Korting!$B$3)*(1-Korting!$B$2)))</f>
        <v>0</v>
      </c>
      <c r="P6" s="553">
        <f>(('Opties &amp; accessories (2)'!O6/(1+Korting!$B$3)*(1-Korting!$B$2)))</f>
        <v>0</v>
      </c>
      <c r="Q6" s="3"/>
      <c r="R6" s="3"/>
      <c r="S6" s="539" t="s">
        <v>72</v>
      </c>
      <c r="T6" s="540"/>
      <c r="U6" s="540"/>
      <c r="V6" s="540"/>
      <c r="W6" s="540"/>
      <c r="X6" s="540"/>
      <c r="Y6" s="541"/>
      <c r="Z6" s="552">
        <f>(('Opties &amp; accessories (2)'!Y6/(1+Korting!$B$3)*(1-Korting!$B$2)*Prijsmutaties!$G$9))</f>
        <v>11.717555371900826</v>
      </c>
      <c r="AA6" s="553">
        <f>(('Opties &amp; accessories (2)'!Z6/(1+Korting!$B$3)*(1-Korting!$B$2)))</f>
        <v>0</v>
      </c>
      <c r="AB6" s="3"/>
    </row>
    <row r="7" spans="1:28" ht="16.5">
      <c r="A7" s="749"/>
      <c r="B7" s="724"/>
      <c r="C7" s="723"/>
      <c r="D7" s="3"/>
      <c r="E7" s="659" t="s">
        <v>44</v>
      </c>
      <c r="F7" s="742">
        <f>(('Opties &amp; accessories (2)'!E7/(1+Korting!$B$3)*(1-Korting!$B$2)*Prijsmutaties!$G$9))</f>
        <v>48.672922314049586</v>
      </c>
      <c r="G7" s="3"/>
      <c r="H7" s="542" t="s">
        <v>73</v>
      </c>
      <c r="I7" s="544"/>
      <c r="J7" s="550">
        <f>(('Opties &amp; accessories (2)'!I7/(1+Korting!$B$3)*(1-Korting!$B$2)*Prijsmutaties!$G$9))</f>
        <v>20.731059504132229</v>
      </c>
      <c r="K7" s="736">
        <f>(('Opties &amp; accessories (2)'!J7/(1+Korting!$B$3)*(1-Korting!$B$2)))</f>
        <v>0</v>
      </c>
      <c r="L7" s="551">
        <f>(('Opties &amp; accessories (2)'!K7/(1+Korting!$B$3)*(1-Korting!$B$2)))</f>
        <v>0</v>
      </c>
      <c r="M7" s="550">
        <f>(('Opties &amp; accessories (2)'!L7/(1+Korting!$B$3)*(1-Korting!$B$2)*Prijsmutaties!$G$9))</f>
        <v>25.237811570247931</v>
      </c>
      <c r="N7" s="736">
        <f>(('Opties &amp; accessories (2)'!M7/(1+Korting!$B$3)*(1-Korting!$B$2)))</f>
        <v>0</v>
      </c>
      <c r="O7" s="736">
        <f>(('Opties &amp; accessories (2)'!N7/(1+Korting!$B$3)*(1-Korting!$B$2)))</f>
        <v>0</v>
      </c>
      <c r="P7" s="551">
        <f>(('Opties &amp; accessories (2)'!O7/(1+Korting!$B$3)*(1-Korting!$B$2)))</f>
        <v>0</v>
      </c>
      <c r="Q7" s="3"/>
      <c r="R7" s="3"/>
      <c r="S7" s="542" t="s">
        <v>74</v>
      </c>
      <c r="T7" s="543"/>
      <c r="U7" s="543"/>
      <c r="V7" s="543"/>
      <c r="W7" s="543"/>
      <c r="X7" s="543"/>
      <c r="Y7" s="544"/>
      <c r="Z7" s="550">
        <f>(('Opties &amp; accessories (2)'!Y7/(1+Korting!$B$3)*(1-Korting!$B$2)*Prijsmutaties!$G$9))</f>
        <v>17.125657851239669</v>
      </c>
      <c r="AA7" s="551">
        <f>(('Opties &amp; accessories (2)'!Z7/(1+Korting!$B$3)*(1-Korting!$B$2)))</f>
        <v>0</v>
      </c>
      <c r="AB7" s="3"/>
    </row>
    <row r="8" spans="1:28" ht="16.5">
      <c r="A8" s="744" t="s">
        <v>45</v>
      </c>
      <c r="B8" s="740">
        <f>(('Opties &amp; accessories (2)'!B8/(1+Korting!$B$3)*(1-Korting!$B$2)*Prijsmutaties!$G$9))</f>
        <v>64.89722975206611</v>
      </c>
      <c r="C8" s="740">
        <f>(('Opties &amp; accessories (2)'!C8/(1+Korting!$B$3)*(1-Korting!$B$2)*Prijsmutaties!$G$9))</f>
        <v>-73.910733884297514</v>
      </c>
      <c r="D8" s="2"/>
      <c r="E8" s="647"/>
      <c r="F8" s="743">
        <f>(('Opties &amp; accessories (2)'!E8/(1+Korting!$B$3)*(1-Korting!$B$2)))</f>
        <v>0</v>
      </c>
      <c r="G8" s="2"/>
      <c r="H8" s="539"/>
      <c r="I8" s="541"/>
      <c r="J8" s="552"/>
      <c r="K8" s="735"/>
      <c r="L8" s="553"/>
      <c r="M8" s="552"/>
      <c r="N8" s="735"/>
      <c r="O8" s="735"/>
      <c r="P8" s="553"/>
      <c r="Q8" s="3"/>
      <c r="R8" s="3"/>
      <c r="S8" s="539" t="s">
        <v>76</v>
      </c>
      <c r="T8" s="540"/>
      <c r="U8" s="540"/>
      <c r="V8" s="540"/>
      <c r="W8" s="540"/>
      <c r="X8" s="540"/>
      <c r="Y8" s="541"/>
      <c r="Z8" s="552">
        <f>(('Opties &amp; accessories (2)'!Y8/(1+Korting!$B$3)*(1-Korting!$B$2)*Prijsmutaties!$G$9))</f>
        <v>24.336461157024793</v>
      </c>
      <c r="AA8" s="553">
        <f>(('Opties &amp; accessories (2)'!Z8/(1+Korting!$B$3)*(1-Korting!$B$2)))</f>
        <v>0</v>
      </c>
      <c r="AB8" s="3"/>
    </row>
    <row r="9" spans="1:28" ht="16.5">
      <c r="A9" s="745"/>
      <c r="B9" s="741">
        <f>(('Opties &amp; accessories (2)'!B9/(1+Korting!$B$3)*(1-Korting!$B$2)))</f>
        <v>0</v>
      </c>
      <c r="C9" s="741">
        <f>(('Opties &amp; accessories (2)'!C9/(1+Korting!$B$3)*(1-Korting!$B$2)))</f>
        <v>0</v>
      </c>
      <c r="D9" s="2"/>
      <c r="E9" s="650" t="s">
        <v>46</v>
      </c>
      <c r="F9" s="740">
        <f>(('Opties &amp; accessories (2)'!E9/(1+Korting!$B$3)*(1-Korting!$B$2)*Prijsmutaties!$G$9))</f>
        <v>73.009383471074372</v>
      </c>
      <c r="G9" s="2"/>
      <c r="H9" s="542" t="s">
        <v>77</v>
      </c>
      <c r="I9" s="544"/>
      <c r="J9" s="550">
        <f>(('Opties &amp; accessories (2)'!I9/(1+Korting!$B$3)*(1-Korting!$B$2)*Prijsmutaties!$G$9))</f>
        <v>24.336461157024793</v>
      </c>
      <c r="K9" s="736">
        <f>(('Opties &amp; accessories (2)'!J9/(1+Korting!$B$3)*(1-Korting!$B$2)))</f>
        <v>0</v>
      </c>
      <c r="L9" s="551">
        <f>(('Opties &amp; accessories (2)'!K9/(1+Korting!$B$3)*(1-Korting!$B$2)))</f>
        <v>0</v>
      </c>
      <c r="M9" s="550">
        <f>(('Opties &amp; accessories (2)'!L9/(1+Korting!$B$3)*(1-Korting!$B$2)*Prijsmutaties!$G$9))</f>
        <v>28.843213223140495</v>
      </c>
      <c r="N9" s="736">
        <f>(('Opties &amp; accessories (2)'!M9/(1+Korting!$B$3)*(1-Korting!$B$2)))</f>
        <v>0</v>
      </c>
      <c r="O9" s="736">
        <f>(('Opties &amp; accessories (2)'!N9/(1+Korting!$B$3)*(1-Korting!$B$2)))</f>
        <v>0</v>
      </c>
      <c r="P9" s="551">
        <f>(('Opties &amp; accessories (2)'!O9/(1+Korting!$B$3)*(1-Korting!$B$2)))</f>
        <v>0</v>
      </c>
      <c r="Q9" s="3"/>
      <c r="R9" s="3"/>
      <c r="S9" s="542" t="s">
        <v>78</v>
      </c>
      <c r="T9" s="543"/>
      <c r="U9" s="543"/>
      <c r="V9" s="543"/>
      <c r="W9" s="543"/>
      <c r="X9" s="543"/>
      <c r="Y9" s="544"/>
      <c r="Z9" s="550">
        <f>(('Opties &amp; accessories (2)'!Y9/(1+Korting!$B$3)*(1-Korting!$B$2)*Prijsmutaties!$G$9))</f>
        <v>51.376973553719004</v>
      </c>
      <c r="AA9" s="551">
        <f>(('Opties &amp; accessories (2)'!Z9/(1+Korting!$B$3)*(1-Korting!$B$2)))</f>
        <v>0</v>
      </c>
      <c r="AB9" s="3"/>
    </row>
    <row r="10" spans="1:28" ht="16.5">
      <c r="A10" s="746" t="s">
        <v>47</v>
      </c>
      <c r="B10" s="742">
        <f>(('Opties &amp; accessories (2)'!B10/(1+Korting!$B$3)*(1-Korting!$B$2)*Prijsmutaties!$G$9))</f>
        <v>169.4538776859504</v>
      </c>
      <c r="C10" s="742">
        <f>(('Opties &amp; accessories (2)'!C10/(1+Korting!$B$3)*(1-Korting!$B$2)*Prijsmutaties!$G$9))</f>
        <v>8.1121537190082638</v>
      </c>
      <c r="D10" s="3"/>
      <c r="E10" s="651"/>
      <c r="F10" s="741">
        <f>(('Opties &amp; accessories (2)'!E10/(1+Korting!$B$3)*(1-Korting!$B$2)))</f>
        <v>0</v>
      </c>
      <c r="G10" s="3"/>
      <c r="H10" s="539" t="s">
        <v>79</v>
      </c>
      <c r="I10" s="541"/>
      <c r="J10" s="552">
        <f>(('Opties &amp; accessories (2)'!I10/(1+Korting!$B$3)*(1-Korting!$B$2)*Prijsmutaties!$G$9))</f>
        <v>25.237811570247931</v>
      </c>
      <c r="K10" s="735">
        <f>(('Opties &amp; accessories (2)'!J10/(1+Korting!$B$3)*(1-Korting!$B$2)))</f>
        <v>0</v>
      </c>
      <c r="L10" s="553">
        <f>(('Opties &amp; accessories (2)'!K10/(1+Korting!$B$3)*(1-Korting!$B$2)))</f>
        <v>0</v>
      </c>
      <c r="M10" s="552">
        <f>(('Opties &amp; accessories (2)'!L10/(1+Korting!$B$3)*(1-Korting!$B$2)*Prijsmutaties!$G$9))</f>
        <v>30.645914049586775</v>
      </c>
      <c r="N10" s="735">
        <f>(('Opties &amp; accessories (2)'!M10/(1+Korting!$B$3)*(1-Korting!$B$2)))</f>
        <v>0</v>
      </c>
      <c r="O10" s="735">
        <f>(('Opties &amp; accessories (2)'!N10/(1+Korting!$B$3)*(1-Korting!$B$2)))</f>
        <v>0</v>
      </c>
      <c r="P10" s="553">
        <f>(('Opties &amp; accessories (2)'!O10/(1+Korting!$B$3)*(1-Korting!$B$2)))</f>
        <v>0</v>
      </c>
      <c r="Q10" s="3"/>
      <c r="R10" s="3"/>
      <c r="S10" s="605" t="s">
        <v>312</v>
      </c>
      <c r="T10" s="540"/>
      <c r="U10" s="540"/>
      <c r="V10" s="540"/>
      <c r="W10" s="540"/>
      <c r="X10" s="540"/>
      <c r="Y10" s="541"/>
      <c r="Z10" s="552">
        <f>(('Opties &amp; accessories (2)'!Y10/(1+Korting!$B$3)*(1-Korting!$B$2)*Prijsmutaties!$G$9))</f>
        <v>133.85053636363637</v>
      </c>
      <c r="AA10" s="553">
        <f>(('Opties &amp; accessories (2)'!Z10/(1+Korting!$B$3)*(1-Korting!$B$2)))</f>
        <v>101.427498121713</v>
      </c>
      <c r="AB10" s="3"/>
    </row>
    <row r="11" spans="1:28" ht="16.5">
      <c r="A11" s="747"/>
      <c r="B11" s="743">
        <f>(('Opties &amp; accessories (2)'!B11/(1+Korting!$B$3)*(1-Korting!$B$2)))</f>
        <v>0</v>
      </c>
      <c r="C11" s="743">
        <f>(('Opties &amp; accessories (2)'!C11/(1+Korting!$B$3)*(1-Korting!$B$2)))</f>
        <v>0</v>
      </c>
      <c r="D11" s="2"/>
      <c r="E11" s="659" t="s">
        <v>48</v>
      </c>
      <c r="F11" s="742">
        <f>(('Opties &amp; accessories (2)'!E11/(1+Korting!$B$3)*(1-Korting!$B$2)*Prijsmutaties!$G$9))</f>
        <v>16.224307438016528</v>
      </c>
      <c r="G11" s="2"/>
      <c r="H11" s="542"/>
      <c r="I11" s="544"/>
      <c r="J11" s="550"/>
      <c r="K11" s="736"/>
      <c r="L11" s="551"/>
      <c r="M11" s="550"/>
      <c r="N11" s="736"/>
      <c r="O11" s="736"/>
      <c r="P11" s="551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6.5">
      <c r="A12" s="744" t="s">
        <v>21</v>
      </c>
      <c r="B12" s="740">
        <f>(('Opties &amp; accessories (2)'!B12/(1+Korting!$B$3)*(1-Korting!$B$2)*Prijsmutaties!$G$9))</f>
        <v>78.417485950413209</v>
      </c>
      <c r="C12" s="740">
        <f>(('Opties &amp; accessories (2)'!C12/(1+Korting!$B$3)*(1-Korting!$B$2)*Prijsmutaties!$G$9))</f>
        <v>-73.910733884297514</v>
      </c>
      <c r="D12" s="3"/>
      <c r="E12" s="647"/>
      <c r="F12" s="743">
        <f>(('Opties &amp; accessories (2)'!E12/(1+Korting!$B$3)*(1-Korting!$B$2)))</f>
        <v>0</v>
      </c>
      <c r="G12" s="3"/>
      <c r="H12" s="539" t="s">
        <v>81</v>
      </c>
      <c r="I12" s="541"/>
      <c r="J12" s="552">
        <f>(('Opties &amp; accessories (2)'!I12/(1+Korting!$B$3)*(1-Korting!$B$2)*Prijsmutaties!$G$9))</f>
        <v>28.843213223140495</v>
      </c>
      <c r="K12" s="735"/>
      <c r="L12" s="553"/>
      <c r="M12" s="552">
        <f>(('Opties &amp; accessories (2)'!L12/(1+Korting!$B$3)*(1-Korting!$B$2)*Prijsmutaties!$G$9))</f>
        <v>32.448614876033055</v>
      </c>
      <c r="N12" s="735">
        <f>(('Opties &amp; accessories (2)'!M12/(1+Korting!$B$3)*(1-Korting!$B$2)))</f>
        <v>0</v>
      </c>
      <c r="O12" s="735">
        <f>(('Opties &amp; accessories (2)'!N12/(1+Korting!$B$3)*(1-Korting!$B$2)))</f>
        <v>0</v>
      </c>
      <c r="P12" s="553">
        <f>(('Opties &amp; accessories (2)'!O12/(1+Korting!$B$3)*(1-Korting!$B$2)))</f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6.5">
      <c r="A13" s="745"/>
      <c r="B13" s="741">
        <f>(('Opties &amp; accessories (2)'!B13/(1+Korting!$B$3)*(1-Korting!$B$2)))</f>
        <v>0</v>
      </c>
      <c r="C13" s="741">
        <f>(('Opties &amp; accessories (2)'!C13/(1+Korting!$B$3)*(1-Korting!$B$2)))</f>
        <v>0</v>
      </c>
      <c r="D13" s="2"/>
      <c r="E13" s="2"/>
      <c r="F13" s="2"/>
      <c r="G13" s="2"/>
      <c r="H13" s="542" t="s">
        <v>82</v>
      </c>
      <c r="I13" s="544"/>
      <c r="J13" s="550">
        <f>(('Opties &amp; accessories (2)'!I13/(1+Korting!$B$3)*(1-Korting!$B$2)*Prijsmutaties!$G$9))</f>
        <v>23.885785950413219</v>
      </c>
      <c r="K13" s="736"/>
      <c r="L13" s="551"/>
      <c r="M13" s="550">
        <f>(('Opties &amp; accessories (2)'!L13/(1+Korting!$B$3)*(1-Korting!$B$2)*Prijsmutaties!$G$9))</f>
        <v>29.744563636363633</v>
      </c>
      <c r="N13" s="736">
        <f>(('Opties &amp; accessories (2)'!M13/(1+Korting!$B$3)*(1-Korting!$B$2)))</f>
        <v>0</v>
      </c>
      <c r="O13" s="736">
        <f>(('Opties &amp; accessories (2)'!N13/(1+Korting!$B$3)*(1-Korting!$B$2)))</f>
        <v>0</v>
      </c>
      <c r="P13" s="551">
        <f>(('Opties &amp; accessories (2)'!O13/(1+Korting!$B$3)*(1-Korting!$B$2)))</f>
        <v>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6.5">
      <c r="A14" s="746" t="s">
        <v>22</v>
      </c>
      <c r="B14" s="742">
        <f>(('Opties &amp; accessories (2)'!B14/(1+Korting!$B$3)*(1-Korting!$B$2)*Prijsmutaties!$G$9))</f>
        <v>164.49645041322313</v>
      </c>
      <c r="C14" s="742" t="s">
        <v>308</v>
      </c>
      <c r="D14" s="2"/>
      <c r="E14" s="2"/>
      <c r="F14" s="2"/>
      <c r="G14" s="2"/>
      <c r="H14" s="539" t="s">
        <v>83</v>
      </c>
      <c r="I14" s="541"/>
      <c r="J14" s="552">
        <f>(('Opties &amp; accessories (2)'!I14/(1+Korting!$B$3)*(1-Korting!$B$2)*Prijsmutaties!$G$9))</f>
        <v>37.856717355371899</v>
      </c>
      <c r="K14" s="735">
        <f>(('Opties &amp; accessories (2)'!J14/(1+Korting!$B$3)*(1-Korting!$B$2)))</f>
        <v>0</v>
      </c>
      <c r="L14" s="553">
        <f>(('Opties &amp; accessories (2)'!K14/(1+Korting!$B$3)*(1-Korting!$B$2)))</f>
        <v>0</v>
      </c>
      <c r="M14" s="552">
        <f>(('Opties &amp; accessories (2)'!L14/(1+Korting!$B$3)*(1-Korting!$B$2)*Prijsmutaties!$G$9))</f>
        <v>45.067520661157026</v>
      </c>
      <c r="N14" s="735">
        <f>(('Opties &amp; accessories (2)'!M14/(1+Korting!$B$3)*(1-Korting!$B$2)))</f>
        <v>0</v>
      </c>
      <c r="O14" s="735">
        <f>(('Opties &amp; accessories (2)'!N14/(1+Korting!$B$3)*(1-Korting!$B$2)))</f>
        <v>0</v>
      </c>
      <c r="P14" s="553">
        <f>(('Opties &amp; accessories (2)'!O14/(1+Korting!$B$3)*(1-Korting!$B$2)))</f>
        <v>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6.5">
      <c r="A15" s="747"/>
      <c r="B15" s="743">
        <f>(('Opties &amp; accessories (2)'!B15/(1+Korting!$B$3)*(1-Korting!$B$2)))</f>
        <v>0</v>
      </c>
      <c r="C15" s="743">
        <f>(('Opties &amp; accessories (2)'!C15/(1+Korting!$B$3)*(1-Korting!$B$2)))</f>
        <v>0</v>
      </c>
      <c r="D15" s="2"/>
      <c r="E15" s="662" t="s">
        <v>49</v>
      </c>
      <c r="F15" s="662"/>
      <c r="G15" s="2"/>
      <c r="H15" s="542" t="s">
        <v>84</v>
      </c>
      <c r="I15" s="544"/>
      <c r="J15" s="550">
        <f>(('Opties &amp; accessories (2)'!I15/(1+Korting!$B$3)*(1-Korting!$B$2)*Prijsmutaties!$G$9))</f>
        <v>9.0135041322314056</v>
      </c>
      <c r="K15" s="736">
        <f>(('Opties &amp; accessories (2)'!J15/(1+Korting!$B$3)*(1-Korting!$B$2)))</f>
        <v>0</v>
      </c>
      <c r="L15" s="551">
        <f>(('Opties &amp; accessories (2)'!K15/(1+Korting!$B$3)*(1-Korting!$B$2)))</f>
        <v>0</v>
      </c>
      <c r="M15" s="550">
        <f>(('Opties &amp; accessories (2)'!L15/(1+Korting!$B$3)*(1-Korting!$B$2)*Prijsmutaties!$G$9))</f>
        <v>13.520256198347106</v>
      </c>
      <c r="N15" s="736">
        <f>(('Opties &amp; accessories (2)'!M15/(1+Korting!$B$3)*(1-Korting!$B$2)))</f>
        <v>0</v>
      </c>
      <c r="O15" s="736">
        <f>(('Opties &amp; accessories (2)'!N15/(1+Korting!$B$3)*(1-Korting!$B$2)))</f>
        <v>0</v>
      </c>
      <c r="P15" s="551">
        <f>(('Opties &amp; accessories (2)'!O15/(1+Korting!$B$3)*(1-Korting!$B$2)))</f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744" t="s">
        <v>23</v>
      </c>
      <c r="B16" s="740">
        <f>(('Opties &amp; accessories (2)'!B16/(1+Korting!$B$3)*(1-Korting!$B$2)*Prijsmutaties!$G$9))</f>
        <v>177.56603140495866</v>
      </c>
      <c r="C16" s="740">
        <f>(('Opties &amp; accessories (2)'!C16/(1+Korting!$B$3)*(1-Korting!$B$2)*Prijsmutaties!$G$9))</f>
        <v>40.560768595041317</v>
      </c>
      <c r="D16" s="2"/>
      <c r="E16" s="663"/>
      <c r="F16" s="663"/>
      <c r="G16" s="2"/>
      <c r="H16" s="179" t="s">
        <v>481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9">
      <c r="A17" s="745"/>
      <c r="B17" s="741">
        <f>(('Opties &amp; accessories (2)'!B17/(1+Korting!$B$3)*(1-Korting!$B$2)))</f>
        <v>0</v>
      </c>
      <c r="C17" s="741">
        <f>(('Opties &amp; accessories (2)'!C17/(1+Korting!$B$3)*(1-Korting!$B$2)))</f>
        <v>0</v>
      </c>
      <c r="D17" s="2"/>
      <c r="E17" s="672" t="s">
        <v>377</v>
      </c>
      <c r="F17" s="740">
        <f>(('Opties &amp; accessories (2)'!E17/(1+Korting!$B$3)*(1-Korting!$B$2)*Prijsmutaties!$G$9))</f>
        <v>32.448614876033055</v>
      </c>
      <c r="G17" s="2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9" ht="16.5" customHeight="1">
      <c r="A18" s="746" t="s">
        <v>51</v>
      </c>
      <c r="B18" s="742">
        <f>(('Opties &amp; accessories (2)'!B18/(1+Korting!$B$3)*(1-Korting!$B$2)*Prijsmutaties!$G$9))</f>
        <v>111.76745123966941</v>
      </c>
      <c r="C18" s="742">
        <f>(('Opties &amp; accessories (2)'!C18/(1+Korting!$B$3)*(1-Korting!$B$2)*Prijsmutaties!$G$9))</f>
        <v>0</v>
      </c>
      <c r="D18" s="2"/>
      <c r="E18" s="651"/>
      <c r="F18" s="741">
        <f>(('Opties &amp; accessories (2)'!E18/(1+Korting!$B$3)*(1-Korting!$B$2)))</f>
        <v>0</v>
      </c>
      <c r="G18" s="2"/>
      <c r="H18" s="663" t="s">
        <v>85</v>
      </c>
      <c r="I18" s="663"/>
      <c r="J18" s="663"/>
      <c r="K18" s="663"/>
      <c r="L18" s="663"/>
      <c r="M18" s="663"/>
      <c r="N18" s="663"/>
      <c r="O18" s="663"/>
      <c r="P18" s="663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9" ht="16.5" customHeight="1">
      <c r="A19" s="747"/>
      <c r="B19" s="743">
        <f>(('Opties &amp; accessories (2)'!B19/(1+Korting!$B$3)*(1-Korting!$B$2)))</f>
        <v>0</v>
      </c>
      <c r="C19" s="743">
        <f>(('Opties &amp; accessories (2)'!C19/(1+Korting!$B$3)*(1-Korting!$B$2)))</f>
        <v>0</v>
      </c>
      <c r="D19" s="2"/>
      <c r="E19" s="646" t="s">
        <v>378</v>
      </c>
      <c r="F19" s="742">
        <f>(('Opties &amp; accessories (2)'!E19/(1+Korting!$B$3)*(1-Korting!$B$2)*Prijsmutaties!$G$9))</f>
        <v>44.616845454545455</v>
      </c>
      <c r="G19" s="2"/>
      <c r="H19" s="539" t="s">
        <v>86</v>
      </c>
      <c r="I19" s="540"/>
      <c r="J19" s="540"/>
      <c r="K19" s="540"/>
      <c r="L19" s="540"/>
      <c r="M19" s="540"/>
      <c r="N19" s="541"/>
      <c r="O19" s="552">
        <f>(('Opties &amp; accessories (2)'!N18/(1+Korting!$B$3)*(1-Korting!$B$2)*Prijsmutaties!$G$9))</f>
        <v>64.89722975206611</v>
      </c>
      <c r="P19" s="553"/>
      <c r="Q19" s="2"/>
      <c r="R19" s="2"/>
      <c r="S19" s="2"/>
      <c r="T19" s="2"/>
      <c r="U19" s="2"/>
      <c r="V19" s="689"/>
      <c r="W19" s="689"/>
      <c r="X19" s="689"/>
      <c r="Y19" s="689"/>
      <c r="Z19" s="689"/>
      <c r="AA19" s="689"/>
      <c r="AB19" s="689"/>
    </row>
    <row r="20" spans="1:29" ht="16.5" customHeight="1">
      <c r="A20" s="2"/>
      <c r="B20" s="2"/>
      <c r="C20" s="2"/>
      <c r="D20" s="2"/>
      <c r="E20" s="647"/>
      <c r="F20" s="743">
        <f>(('Opties &amp; accessories (2)'!E20/(1+Korting!$B$3)*(1-Korting!$B$2)))</f>
        <v>0</v>
      </c>
      <c r="G20" s="2"/>
      <c r="H20" s="542" t="s">
        <v>87</v>
      </c>
      <c r="I20" s="543"/>
      <c r="J20" s="543"/>
      <c r="K20" s="543"/>
      <c r="L20" s="543"/>
      <c r="M20" s="543"/>
      <c r="N20" s="544"/>
      <c r="O20" s="550">
        <f>(('Opties &amp; accessories (2)'!N21/(1+Korting!$B$3)*(1-Korting!$B$2)*Prijsmutaties!$G$9))</f>
        <v>73.910733884297514</v>
      </c>
      <c r="P20" s="551">
        <f>(('Opties &amp; accessories (2)'!O21/(1+Korting!$B$3)*(1-Korting!$B$2)))</f>
        <v>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9">
      <c r="A21" s="2"/>
      <c r="B21" s="2"/>
      <c r="C21" s="2"/>
      <c r="D21" s="2"/>
      <c r="E21" s="672" t="s">
        <v>379</v>
      </c>
      <c r="F21" s="740">
        <f>(('Opties &amp; accessories (2)'!E21/(1+Korting!$B$3)*(1-Korting!$B$2)*Prijsmutaties!$G$9))</f>
        <v>80.220186776859492</v>
      </c>
      <c r="G21" s="2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9" ht="17.25">
      <c r="A22" s="662" t="s">
        <v>54</v>
      </c>
      <c r="B22" s="662"/>
      <c r="C22" s="353"/>
      <c r="D22" s="3"/>
      <c r="E22" s="651"/>
      <c r="F22" s="741">
        <f>(('Opties &amp; accessories (2)'!E22/(1+Korting!$B$3)*(1-Korting!$B$2)))</f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9" ht="12.75" customHeight="1">
      <c r="A23" s="663"/>
      <c r="B23" s="663"/>
      <c r="C23" s="353"/>
      <c r="D23" s="2"/>
      <c r="E23" s="2"/>
      <c r="F23" s="2"/>
      <c r="G23" s="2"/>
      <c r="H23" s="732" t="s">
        <v>88</v>
      </c>
      <c r="I23" s="733"/>
      <c r="J23" s="733"/>
      <c r="K23" s="733"/>
      <c r="L23" s="733"/>
      <c r="M23" s="733"/>
      <c r="N23" s="733"/>
      <c r="O23" s="733"/>
      <c r="P23" s="733"/>
      <c r="Q23" s="733"/>
      <c r="R23" s="733"/>
      <c r="S23" s="734"/>
      <c r="T23" s="3"/>
      <c r="AC23" s="490"/>
    </row>
    <row r="24" spans="1:29" ht="33">
      <c r="A24" s="650" t="s">
        <v>55</v>
      </c>
      <c r="B24" s="740">
        <f>(('Opties &amp; accessories (2)'!B24/(1+Korting!$B$3)*(1-Korting!$B$2)*Prijsmutaties!$G$9))</f>
        <v>63.094528925619827</v>
      </c>
      <c r="C24" s="176"/>
      <c r="D24" s="2"/>
      <c r="E24" s="2"/>
      <c r="F24" s="2"/>
      <c r="G24" s="2"/>
      <c r="H24" s="111"/>
      <c r="I24" s="680" t="s">
        <v>90</v>
      </c>
      <c r="J24" s="681"/>
      <c r="K24" s="117" t="s">
        <v>91</v>
      </c>
      <c r="L24" s="682" t="s">
        <v>92</v>
      </c>
      <c r="M24" s="683"/>
      <c r="N24" s="682" t="s">
        <v>93</v>
      </c>
      <c r="O24" s="683"/>
      <c r="P24" s="686" t="s">
        <v>94</v>
      </c>
      <c r="Q24" s="664"/>
      <c r="R24" s="682" t="s">
        <v>95</v>
      </c>
      <c r="S24" s="683"/>
      <c r="T24" s="3"/>
      <c r="AC24" s="369" t="s">
        <v>424</v>
      </c>
    </row>
    <row r="25" spans="1:29" ht="16.5">
      <c r="A25" s="651"/>
      <c r="B25" s="741">
        <f>(('Opties &amp; accessories (2)'!B25/(1+Korting!$B$3)*(1-Korting!$B$2)))</f>
        <v>0</v>
      </c>
      <c r="C25" s="176"/>
      <c r="D25" s="2"/>
      <c r="E25" s="662" t="s">
        <v>56</v>
      </c>
      <c r="F25" s="662"/>
      <c r="G25" s="2"/>
      <c r="H25" s="119" t="s">
        <v>96</v>
      </c>
      <c r="I25" s="656">
        <v>400</v>
      </c>
      <c r="J25" s="657"/>
      <c r="K25" s="15">
        <v>506</v>
      </c>
      <c r="L25" s="582">
        <v>578</v>
      </c>
      <c r="M25" s="583"/>
      <c r="N25" s="656">
        <v>580</v>
      </c>
      <c r="O25" s="657"/>
      <c r="P25" s="660" t="s">
        <v>97</v>
      </c>
      <c r="Q25" s="661"/>
      <c r="R25" s="539" t="s">
        <v>97</v>
      </c>
      <c r="S25" s="541"/>
      <c r="T25" s="3"/>
      <c r="AC25" s="15" t="s">
        <v>314</v>
      </c>
    </row>
    <row r="26" spans="1:29" ht="16.5">
      <c r="A26" s="659" t="s">
        <v>57</v>
      </c>
      <c r="B26" s="742">
        <f>(('Opties &amp; accessories (2)'!B26/(1+Korting!$B$3)*(1-Korting!$B$2)*Prijsmutaties!$G$9))</f>
        <v>96.44449421487603</v>
      </c>
      <c r="C26" s="368"/>
      <c r="D26" s="2"/>
      <c r="E26" s="663"/>
      <c r="F26" s="663"/>
      <c r="G26" s="2"/>
      <c r="H26" s="106" t="s">
        <v>99</v>
      </c>
      <c r="I26" s="674">
        <v>400</v>
      </c>
      <c r="J26" s="675"/>
      <c r="K26" s="10">
        <v>506</v>
      </c>
      <c r="L26" s="676" t="s">
        <v>97</v>
      </c>
      <c r="M26" s="677"/>
      <c r="N26" s="674">
        <v>580</v>
      </c>
      <c r="O26" s="675"/>
      <c r="P26" s="674">
        <v>607</v>
      </c>
      <c r="Q26" s="675"/>
      <c r="R26" s="678">
        <v>657</v>
      </c>
      <c r="S26" s="679"/>
      <c r="T26" s="3"/>
      <c r="AC26" s="10">
        <v>585</v>
      </c>
    </row>
    <row r="27" spans="1:29" ht="16.5">
      <c r="A27" s="647"/>
      <c r="B27" s="743">
        <f>(('Opties &amp; accessories (2)'!B27/(1+Korting!$B$3)*(1-Korting!$B$2)))</f>
        <v>0</v>
      </c>
      <c r="C27" s="368"/>
      <c r="D27" s="2"/>
      <c r="E27" s="672" t="s">
        <v>377</v>
      </c>
      <c r="F27" s="740">
        <f>(('Opties &amp; accessories (2)'!E27/(1+Korting!$B$3)*(1-Korting!$B$2)*Prijsmutaties!$G$9))</f>
        <v>24.336461157024793</v>
      </c>
      <c r="G27" s="2"/>
      <c r="H27" s="120" t="s">
        <v>101</v>
      </c>
      <c r="I27" s="660" t="s">
        <v>97</v>
      </c>
      <c r="J27" s="661"/>
      <c r="K27" s="15">
        <v>546</v>
      </c>
      <c r="L27" s="660" t="s">
        <v>97</v>
      </c>
      <c r="M27" s="661"/>
      <c r="N27" s="656">
        <v>620</v>
      </c>
      <c r="O27" s="657"/>
      <c r="P27" s="656">
        <v>647</v>
      </c>
      <c r="Q27" s="657"/>
      <c r="R27" s="652">
        <v>697</v>
      </c>
      <c r="S27" s="653"/>
      <c r="T27" s="3"/>
      <c r="AC27" s="15" t="s">
        <v>314</v>
      </c>
    </row>
    <row r="28" spans="1:29" ht="12.75" customHeight="1">
      <c r="A28" s="2"/>
      <c r="B28" s="2"/>
      <c r="C28" s="2"/>
      <c r="D28" s="2"/>
      <c r="E28" s="651"/>
      <c r="F28" s="741">
        <f>(('Opties &amp; accessories (2)'!E28/(1+Korting!$B$3)*(1-Korting!$B$2)))</f>
        <v>0</v>
      </c>
      <c r="G28" s="2"/>
      <c r="H28" s="658"/>
      <c r="I28" s="658"/>
      <c r="J28" s="658"/>
      <c r="K28" s="658"/>
      <c r="L28" s="658"/>
      <c r="M28" s="658"/>
      <c r="N28" s="658"/>
      <c r="O28" s="658"/>
      <c r="P28" s="658"/>
      <c r="Q28" s="658"/>
      <c r="R28" s="658"/>
      <c r="S28" s="658"/>
      <c r="T28" s="658"/>
      <c r="U28" s="658"/>
      <c r="V28" s="658"/>
      <c r="W28" s="658"/>
      <c r="X28" s="658"/>
      <c r="Y28" s="658"/>
      <c r="Z28" s="658"/>
      <c r="AA28" s="658"/>
      <c r="AB28" s="658"/>
    </row>
    <row r="29" spans="1:29" ht="12.75" customHeight="1">
      <c r="A29" s="2"/>
      <c r="B29" s="2"/>
      <c r="C29" s="2"/>
      <c r="D29" s="2"/>
      <c r="E29" s="646" t="s">
        <v>378</v>
      </c>
      <c r="F29" s="742">
        <f>(('Opties &amp; accessories (2)'!E29/(1+Korting!$B$3)*(1-Korting!$B$2)*Prijsmutaties!$G$9))</f>
        <v>32.448614876033055</v>
      </c>
      <c r="G29" s="2"/>
      <c r="H29" s="727" t="s">
        <v>89</v>
      </c>
      <c r="I29" s="728"/>
      <c r="J29" s="728"/>
      <c r="K29" s="728"/>
      <c r="L29" s="728"/>
      <c r="M29" s="728"/>
      <c r="N29" s="728"/>
      <c r="O29" s="728"/>
    </row>
    <row r="30" spans="1:29" ht="33">
      <c r="A30" s="662" t="s">
        <v>59</v>
      </c>
      <c r="B30" s="662"/>
      <c r="C30" s="353"/>
      <c r="D30" s="3"/>
      <c r="E30" s="647"/>
      <c r="F30" s="743">
        <f>(('Opties &amp; accessories (2)'!E30/(1+Korting!$B$3)*(1-Korting!$B$2)))</f>
        <v>0</v>
      </c>
      <c r="G30" s="3"/>
      <c r="H30" s="684"/>
      <c r="I30" s="685"/>
      <c r="J30" s="117" t="s">
        <v>91</v>
      </c>
      <c r="K30" s="118" t="s">
        <v>93</v>
      </c>
      <c r="L30" s="686" t="s">
        <v>94</v>
      </c>
      <c r="M30" s="664"/>
      <c r="N30" s="105" t="s">
        <v>95</v>
      </c>
      <c r="O30" s="369" t="s">
        <v>313</v>
      </c>
    </row>
    <row r="31" spans="1:29" ht="17.25">
      <c r="A31" s="663"/>
      <c r="B31" s="663"/>
      <c r="C31" s="353"/>
      <c r="D31" s="2"/>
      <c r="E31" s="672" t="s">
        <v>379</v>
      </c>
      <c r="F31" s="740">
        <f>(('Opties &amp; accessories (2)'!E31/(1+Korting!$B$3)*(1-Korting!$B$2)*Prijsmutaties!$G$9))</f>
        <v>48.672922314049586</v>
      </c>
      <c r="G31" s="2"/>
      <c r="H31" s="730" t="s">
        <v>359</v>
      </c>
      <c r="I31" s="688"/>
      <c r="J31" s="15">
        <v>587</v>
      </c>
      <c r="K31" s="15">
        <v>651</v>
      </c>
      <c r="L31" s="656">
        <v>694</v>
      </c>
      <c r="M31" s="657"/>
      <c r="N31" s="15">
        <v>744</v>
      </c>
      <c r="O31" s="15">
        <v>810</v>
      </c>
    </row>
    <row r="32" spans="1:29" ht="16.5">
      <c r="A32" s="650" t="s">
        <v>60</v>
      </c>
      <c r="B32" s="740">
        <f>(('Opties &amp; accessories (2)'!B32/(1+Korting!$B$3)*(1-Korting!$B$2)*Prijsmutaties!$G$9))</f>
        <v>7.6614785123966938</v>
      </c>
      <c r="C32" s="176"/>
      <c r="D32" s="3"/>
      <c r="E32" s="651"/>
      <c r="F32" s="741">
        <f>(('Opties &amp; accessories (2)'!E32/(1+Korting!$B$3)*(1-Korting!$B$2)))</f>
        <v>0</v>
      </c>
      <c r="G32" s="3"/>
      <c r="H32" s="731" t="s">
        <v>425</v>
      </c>
      <c r="I32" s="681"/>
      <c r="J32" s="10">
        <v>627</v>
      </c>
      <c r="K32" s="10">
        <v>701</v>
      </c>
      <c r="L32" s="674">
        <v>734</v>
      </c>
      <c r="M32" s="675"/>
      <c r="N32" s="10">
        <v>784</v>
      </c>
      <c r="O32" s="10">
        <v>810</v>
      </c>
    </row>
    <row r="33" spans="1:15" ht="16.5">
      <c r="A33" s="651"/>
      <c r="B33" s="741">
        <f>(('Opties &amp; accessories (2)'!B33/(1+Korting!$B$3)*(1-Korting!$B$2)))</f>
        <v>0</v>
      </c>
      <c r="C33" s="176"/>
      <c r="D33" s="2"/>
      <c r="E33" s="3"/>
      <c r="F33" s="3"/>
      <c r="G33" s="2"/>
      <c r="H33" s="729" t="s">
        <v>360</v>
      </c>
      <c r="I33" s="655"/>
      <c r="J33" s="15">
        <v>572</v>
      </c>
      <c r="K33" s="15">
        <v>646</v>
      </c>
      <c r="L33" s="656">
        <v>679</v>
      </c>
      <c r="M33" s="657"/>
      <c r="N33" s="15">
        <v>729</v>
      </c>
      <c r="O33" s="15" t="s">
        <v>314</v>
      </c>
    </row>
    <row r="34" spans="1:15" ht="17.25">
      <c r="A34" s="659" t="s">
        <v>24</v>
      </c>
      <c r="B34" s="742">
        <f>(('Opties &amp; accessories (2)'!B34/(1+Korting!$B$3)*(1-Korting!$B$2)*Prijsmutaties!$G$9))</f>
        <v>11.717555371900826</v>
      </c>
      <c r="C34" s="176"/>
      <c r="D34" s="3"/>
      <c r="E34" s="663" t="s">
        <v>62</v>
      </c>
      <c r="F34" s="663"/>
      <c r="G34" s="3"/>
    </row>
    <row r="35" spans="1:15" ht="16.5">
      <c r="A35" s="647"/>
      <c r="B35" s="743">
        <f>(('Opties &amp; accessories (2)'!B35/(1+Korting!$B$3)*(1-Korting!$B$2)))</f>
        <v>0</v>
      </c>
      <c r="C35" s="176"/>
      <c r="D35" s="2"/>
      <c r="E35" s="648" t="s">
        <v>63</v>
      </c>
      <c r="F35" s="649"/>
      <c r="G35" s="2"/>
    </row>
    <row r="36" spans="1:15" ht="16.5">
      <c r="A36" s="650" t="s">
        <v>61</v>
      </c>
      <c r="B36" s="740">
        <f>(('Opties &amp; accessories (2)'!B36/(1+Korting!$B$3)*(1-Korting!$B$2)*Prijsmutaties!$G$9))</f>
        <v>0</v>
      </c>
      <c r="C36" s="176"/>
      <c r="D36" s="3"/>
      <c r="E36" s="648" t="str">
        <f>CONCATENATE("Stap 2: Trek € ",MROUND(((73/(1+Korting!$B$3)*(1-Korting!$B$2)*Prijsmutaties!$G$9)),1)," af van de totaalprijs van deze 2 screens")</f>
        <v>Stap 2: Trek € 66 af van de totaalprijs van deze 2 screens</v>
      </c>
      <c r="F36" s="649"/>
      <c r="G36" s="3"/>
    </row>
    <row r="37" spans="1:15" ht="16.5">
      <c r="A37" s="651"/>
      <c r="B37" s="741">
        <f>(('Opties &amp; accessories (2)'!B37/(1+Korting!$B$3)*(1-Korting!$B$2)))</f>
        <v>0</v>
      </c>
      <c r="C37" s="176"/>
      <c r="D37" s="3"/>
      <c r="E37" s="665" t="s">
        <v>64</v>
      </c>
      <c r="F37" s="666"/>
      <c r="G37" s="3"/>
    </row>
    <row r="38" spans="1:15" ht="12.75" customHeight="1">
      <c r="A38" s="646" t="s">
        <v>303</v>
      </c>
      <c r="B38" s="742">
        <f>(('Opties &amp; accessories (2)'!B38/(1+Korting!$B$3)*(1-Korting!$B$2)*Prijsmutaties!$G$9))</f>
        <v>5.4081024793388428</v>
      </c>
      <c r="D38" s="3"/>
      <c r="E38" s="667"/>
      <c r="F38" s="668"/>
      <c r="G38" s="3"/>
    </row>
    <row r="39" spans="1:15" ht="12.75" customHeight="1">
      <c r="A39" s="647"/>
      <c r="B39" s="743">
        <f>(('Opties &amp; accessories (2)'!B39/(1+Korting!$B$3)*(1-Korting!$B$2)))</f>
        <v>0</v>
      </c>
      <c r="C39" s="1"/>
      <c r="D39" s="3"/>
      <c r="G39" s="3"/>
    </row>
    <row r="40" spans="1:15" ht="12.75" customHeight="1">
      <c r="A40" s="3"/>
      <c r="B40" s="3"/>
      <c r="C40" s="1"/>
      <c r="D40" s="3"/>
      <c r="G40" s="3"/>
    </row>
    <row r="41" spans="1:15" ht="12.75" customHeight="1">
      <c r="A41" s="669" t="s">
        <v>65</v>
      </c>
      <c r="B41" s="669"/>
      <c r="C41" s="669"/>
      <c r="D41" s="2"/>
    </row>
    <row r="42" spans="1:15">
      <c r="A42" s="669"/>
      <c r="B42" s="669"/>
      <c r="C42" s="669"/>
      <c r="D42" s="2"/>
    </row>
    <row r="43" spans="1:15" ht="12.75" customHeight="1">
      <c r="C43" s="1"/>
    </row>
    <row r="45" spans="1:15" ht="17.25" customHeight="1"/>
    <row r="46" spans="1:15">
      <c r="A46" s="2"/>
      <c r="B46" s="2"/>
    </row>
  </sheetData>
  <sheetProtection algorithmName="SHA-512" hashValue="6kBSas/rUKN5wzjbQ3a/wsY4JoUD/wEW/Ri3Wz7Pl+s0zQ7cl14FHl7fWsHYXRa5fODhbEGoHtg4vONdLWi7zQ==" saltValue="PHJkNfKzRV5z4nsivOlBKQ==" spinCount="100000" sheet="1" objects="1" scenarios="1"/>
  <mergeCells count="154">
    <mergeCell ref="E34:F34"/>
    <mergeCell ref="E35:F35"/>
    <mergeCell ref="E36:F36"/>
    <mergeCell ref="E37:F38"/>
    <mergeCell ref="A41:C42"/>
    <mergeCell ref="E29:E30"/>
    <mergeCell ref="F29:F30"/>
    <mergeCell ref="A30:B31"/>
    <mergeCell ref="E31:E32"/>
    <mergeCell ref="F31:F32"/>
    <mergeCell ref="A32:A33"/>
    <mergeCell ref="B32:B33"/>
    <mergeCell ref="A34:A35"/>
    <mergeCell ref="B34:B35"/>
    <mergeCell ref="A36:A37"/>
    <mergeCell ref="B36:B37"/>
    <mergeCell ref="A38:A39"/>
    <mergeCell ref="B38:B39"/>
    <mergeCell ref="E21:E22"/>
    <mergeCell ref="F21:F22"/>
    <mergeCell ref="A22:B23"/>
    <mergeCell ref="A24:A25"/>
    <mergeCell ref="B24:B25"/>
    <mergeCell ref="E25:F26"/>
    <mergeCell ref="A26:A27"/>
    <mergeCell ref="B26:B27"/>
    <mergeCell ref="E27:E28"/>
    <mergeCell ref="F27:F28"/>
    <mergeCell ref="A14:A15"/>
    <mergeCell ref="B14:B15"/>
    <mergeCell ref="E15:F16"/>
    <mergeCell ref="A16:A17"/>
    <mergeCell ref="B16:B17"/>
    <mergeCell ref="E17:E18"/>
    <mergeCell ref="F17:F18"/>
    <mergeCell ref="A18:A19"/>
    <mergeCell ref="B18:B19"/>
    <mergeCell ref="E19:E20"/>
    <mergeCell ref="F19:F20"/>
    <mergeCell ref="C14:C15"/>
    <mergeCell ref="C16:C17"/>
    <mergeCell ref="C18:C19"/>
    <mergeCell ref="A1:G1"/>
    <mergeCell ref="A2:B2"/>
    <mergeCell ref="E2:F2"/>
    <mergeCell ref="E5:E6"/>
    <mergeCell ref="F5:F6"/>
    <mergeCell ref="E7:E8"/>
    <mergeCell ref="F7:F8"/>
    <mergeCell ref="A8:A9"/>
    <mergeCell ref="B8:B9"/>
    <mergeCell ref="E9:E10"/>
    <mergeCell ref="F9:F10"/>
    <mergeCell ref="A10:A11"/>
    <mergeCell ref="B10:B11"/>
    <mergeCell ref="E11:E12"/>
    <mergeCell ref="F11:F12"/>
    <mergeCell ref="A12:A13"/>
    <mergeCell ref="B12:B13"/>
    <mergeCell ref="A6:A7"/>
    <mergeCell ref="B6:B7"/>
    <mergeCell ref="C6:C7"/>
    <mergeCell ref="C8:C9"/>
    <mergeCell ref="C10:C11"/>
    <mergeCell ref="C12:C13"/>
    <mergeCell ref="H2:P3"/>
    <mergeCell ref="S3:AA3"/>
    <mergeCell ref="H4:I4"/>
    <mergeCell ref="J4:L4"/>
    <mergeCell ref="M4:P4"/>
    <mergeCell ref="S4:Y4"/>
    <mergeCell ref="Z4:AA4"/>
    <mergeCell ref="H5:I5"/>
    <mergeCell ref="J5:L5"/>
    <mergeCell ref="M5:P5"/>
    <mergeCell ref="S5:Y5"/>
    <mergeCell ref="Z5:AA5"/>
    <mergeCell ref="J6:L6"/>
    <mergeCell ref="M6:P6"/>
    <mergeCell ref="S6:Y6"/>
    <mergeCell ref="Z6:AA6"/>
    <mergeCell ref="H7:I7"/>
    <mergeCell ref="J7:L7"/>
    <mergeCell ref="M7:P7"/>
    <mergeCell ref="S7:Y7"/>
    <mergeCell ref="Z7:AA7"/>
    <mergeCell ref="H6:I6"/>
    <mergeCell ref="H9:I9"/>
    <mergeCell ref="J9:L9"/>
    <mergeCell ref="M9:P9"/>
    <mergeCell ref="S9:Y9"/>
    <mergeCell ref="Z9:AA9"/>
    <mergeCell ref="H8:I8"/>
    <mergeCell ref="J8:L8"/>
    <mergeCell ref="M8:P8"/>
    <mergeCell ref="S8:Y8"/>
    <mergeCell ref="Z8:AA8"/>
    <mergeCell ref="H12:I12"/>
    <mergeCell ref="J12:L12"/>
    <mergeCell ref="M12:P12"/>
    <mergeCell ref="H13:I13"/>
    <mergeCell ref="J13:L13"/>
    <mergeCell ref="M13:P13"/>
    <mergeCell ref="H10:I10"/>
    <mergeCell ref="J10:L10"/>
    <mergeCell ref="M10:P10"/>
    <mergeCell ref="H11:I11"/>
    <mergeCell ref="J11:L11"/>
    <mergeCell ref="M11:P11"/>
    <mergeCell ref="H18:P18"/>
    <mergeCell ref="V19:AB19"/>
    <mergeCell ref="H20:N20"/>
    <mergeCell ref="O20:P20"/>
    <mergeCell ref="H14:I14"/>
    <mergeCell ref="J14:L14"/>
    <mergeCell ref="M14:P14"/>
    <mergeCell ref="H15:I15"/>
    <mergeCell ref="J15:L15"/>
    <mergeCell ref="M15:P15"/>
    <mergeCell ref="H19:N19"/>
    <mergeCell ref="O19:P19"/>
    <mergeCell ref="R25:S25"/>
    <mergeCell ref="H23:S23"/>
    <mergeCell ref="I24:J24"/>
    <mergeCell ref="L24:M24"/>
    <mergeCell ref="N24:O24"/>
    <mergeCell ref="P24:Q24"/>
    <mergeCell ref="R24:S24"/>
    <mergeCell ref="H30:I30"/>
    <mergeCell ref="L30:M30"/>
    <mergeCell ref="S10:Y10"/>
    <mergeCell ref="Z10:AA10"/>
    <mergeCell ref="H29:O29"/>
    <mergeCell ref="H33:I33"/>
    <mergeCell ref="L33:M33"/>
    <mergeCell ref="H28:AB28"/>
    <mergeCell ref="I27:J27"/>
    <mergeCell ref="L27:M27"/>
    <mergeCell ref="N27:O27"/>
    <mergeCell ref="P27:Q27"/>
    <mergeCell ref="R27:S27"/>
    <mergeCell ref="H31:I31"/>
    <mergeCell ref="L31:M31"/>
    <mergeCell ref="I26:J26"/>
    <mergeCell ref="L26:M26"/>
    <mergeCell ref="N26:O26"/>
    <mergeCell ref="P26:Q26"/>
    <mergeCell ref="R26:S26"/>
    <mergeCell ref="H32:I32"/>
    <mergeCell ref="L32:M32"/>
    <mergeCell ref="I25:J25"/>
    <mergeCell ref="L25:M25"/>
    <mergeCell ref="N25:O25"/>
    <mergeCell ref="P25:Q25"/>
  </mergeCells>
  <pageMargins left="0.70866141732283472" right="0.70866141732283472" top="0.74803149606299213" bottom="0.74803149606299213" header="0.31496062992125984" footer="0.31496062992125984"/>
  <pageSetup paperSize="9" scale="29" orientation="portrait" r:id="rId1"/>
  <headerFooter>
    <oddFooter>&amp;L&amp;D&amp;C&amp;F
Tabblad &amp;A&amp;RInkoopprijslijst excl. BTW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2158-70B7-4089-907B-03691D5AC599}">
  <sheetPr codeName="Blad16">
    <tabColor rgb="FF92D050"/>
  </sheetPr>
  <dimension ref="A1:E24"/>
  <sheetViews>
    <sheetView workbookViewId="0">
      <selection activeCell="D22" sqref="D22"/>
    </sheetView>
  </sheetViews>
  <sheetFormatPr defaultRowHeight="12.75"/>
  <cols>
    <col min="1" max="1" width="76.6640625" customWidth="1"/>
    <col min="2" max="2" width="13.1640625" customWidth="1"/>
    <col min="3" max="4" width="12.83203125" customWidth="1"/>
    <col min="5" max="5" width="11.33203125" customWidth="1"/>
  </cols>
  <sheetData>
    <row r="1" spans="1:5" ht="68.25" customHeight="1">
      <c r="A1" s="537" t="s">
        <v>104</v>
      </c>
      <c r="B1" s="537"/>
      <c r="C1" s="537"/>
      <c r="D1" s="537"/>
      <c r="E1" s="537"/>
    </row>
    <row r="2" spans="1:5" ht="37.5" customHeight="1">
      <c r="A2" s="750" t="s">
        <v>105</v>
      </c>
      <c r="B2" s="750"/>
      <c r="C2" s="750"/>
      <c r="D2" s="750"/>
      <c r="E2" s="3"/>
    </row>
    <row r="3" spans="1:5" ht="18" customHeight="1">
      <c r="A3" s="115" t="s">
        <v>106</v>
      </c>
      <c r="B3" s="122" t="s">
        <v>107</v>
      </c>
      <c r="C3" s="123">
        <v>0</v>
      </c>
      <c r="D3" s="124">
        <v>55</v>
      </c>
      <c r="E3" s="2"/>
    </row>
    <row r="4" spans="1:5" ht="18" customHeight="1">
      <c r="A4" s="116" t="s">
        <v>108</v>
      </c>
      <c r="B4" s="125" t="s">
        <v>107</v>
      </c>
      <c r="C4" s="109">
        <v>15</v>
      </c>
      <c r="D4" s="126">
        <v>71</v>
      </c>
      <c r="E4" s="2"/>
    </row>
    <row r="5" spans="1:5" ht="18.95" customHeight="1">
      <c r="A5" s="121" t="s">
        <v>109</v>
      </c>
      <c r="B5" s="122" t="s">
        <v>107</v>
      </c>
      <c r="C5" s="108">
        <v>24.5</v>
      </c>
      <c r="D5" s="124">
        <v>80.5</v>
      </c>
      <c r="E5" s="2"/>
    </row>
    <row r="6" spans="1:5" ht="18" customHeight="1">
      <c r="A6" s="118"/>
      <c r="B6" s="125"/>
      <c r="C6" s="109"/>
      <c r="D6" s="126"/>
      <c r="E6" s="2"/>
    </row>
    <row r="7" spans="1:5" ht="18" customHeight="1">
      <c r="A7" s="8"/>
      <c r="B7" s="8"/>
      <c r="C7" s="8"/>
      <c r="D7" s="8"/>
      <c r="E7" s="2"/>
    </row>
    <row r="8" spans="1:5" ht="18" customHeight="1">
      <c r="A8" s="118"/>
      <c r="B8" s="125"/>
      <c r="C8" s="127"/>
      <c r="D8" s="126"/>
      <c r="E8" s="2"/>
    </row>
    <row r="9" spans="1:5" ht="18" customHeight="1">
      <c r="A9" s="410" t="s">
        <v>484</v>
      </c>
      <c r="B9" s="122"/>
      <c r="C9" s="108"/>
      <c r="D9" s="124"/>
      <c r="E9" s="2"/>
    </row>
    <row r="10" spans="1:5" ht="18.95" customHeight="1">
      <c r="A10" s="118" t="s">
        <v>110</v>
      </c>
      <c r="B10" s="125"/>
      <c r="C10" s="109"/>
      <c r="D10" s="126"/>
      <c r="E10" s="2"/>
    </row>
    <row r="11" spans="1:5" ht="18" customHeight="1">
      <c r="A11" s="121" t="s">
        <v>111</v>
      </c>
      <c r="B11" s="122"/>
      <c r="C11" s="108"/>
      <c r="D11" s="124"/>
      <c r="E11" s="2"/>
    </row>
    <row r="12" spans="1:5" ht="18" customHeight="1">
      <c r="A12" s="128" t="s">
        <v>112</v>
      </c>
      <c r="B12" s="125"/>
      <c r="C12" s="109"/>
      <c r="D12" s="126"/>
      <c r="E12" s="2"/>
    </row>
    <row r="13" spans="1:5" ht="18" customHeight="1">
      <c r="A13" s="121" t="s">
        <v>315</v>
      </c>
      <c r="B13" s="122"/>
      <c r="C13" s="108"/>
      <c r="D13" s="124"/>
      <c r="E13" s="2"/>
    </row>
    <row r="14" spans="1:5" ht="18" customHeight="1">
      <c r="A14" s="371"/>
      <c r="B14" s="372"/>
      <c r="C14" s="373"/>
      <c r="D14" s="374"/>
      <c r="E14" s="2"/>
    </row>
    <row r="15" spans="1:5" ht="20.100000000000001" customHeight="1">
      <c r="A15" s="114" t="s">
        <v>113</v>
      </c>
      <c r="B15" s="113"/>
      <c r="C15" s="113"/>
      <c r="D15" s="113"/>
      <c r="E15" s="3"/>
    </row>
    <row r="16" spans="1:5" ht="18" customHeight="1">
      <c r="A16" s="370" t="s">
        <v>316</v>
      </c>
      <c r="B16" s="18"/>
      <c r="C16" s="130" t="s">
        <v>317</v>
      </c>
      <c r="D16" s="126">
        <v>5.5</v>
      </c>
      <c r="E16" s="2"/>
    </row>
    <row r="17" spans="1:5" ht="18" customHeight="1">
      <c r="A17" s="121" t="s">
        <v>114</v>
      </c>
      <c r="B17" s="8"/>
      <c r="C17" s="129" t="s">
        <v>115</v>
      </c>
      <c r="D17" s="124">
        <v>16.5</v>
      </c>
      <c r="E17" s="2"/>
    </row>
    <row r="18" spans="1:5" ht="18" customHeight="1">
      <c r="A18" s="118" t="s">
        <v>116</v>
      </c>
      <c r="B18" s="18"/>
      <c r="C18" s="130" t="s">
        <v>117</v>
      </c>
      <c r="D18" s="126">
        <v>44</v>
      </c>
      <c r="E18" s="2"/>
    </row>
    <row r="19" spans="1:5" ht="18" customHeight="1">
      <c r="A19" s="121" t="s">
        <v>118</v>
      </c>
      <c r="B19" s="8"/>
      <c r="C19" s="129" t="s">
        <v>117</v>
      </c>
      <c r="D19" s="131">
        <v>0.4</v>
      </c>
      <c r="E19" s="2"/>
    </row>
    <row r="20" spans="1:5" ht="18.95" customHeight="1">
      <c r="A20" s="118" t="s">
        <v>119</v>
      </c>
      <c r="B20" s="18"/>
      <c r="C20" s="130" t="s">
        <v>117</v>
      </c>
      <c r="D20" s="126">
        <v>9.5</v>
      </c>
      <c r="E20" s="2"/>
    </row>
    <row r="21" spans="1:5" ht="18" customHeight="1">
      <c r="A21" s="121" t="s">
        <v>120</v>
      </c>
      <c r="B21" s="8"/>
      <c r="C21" s="129" t="s">
        <v>121</v>
      </c>
      <c r="D21" s="124">
        <v>9.5</v>
      </c>
      <c r="E21" s="2"/>
    </row>
    <row r="22" spans="1:5" ht="18" customHeight="1">
      <c r="A22" s="118" t="s">
        <v>122</v>
      </c>
      <c r="B22" s="18"/>
      <c r="C22" s="130" t="s">
        <v>117</v>
      </c>
      <c r="D22" s="132">
        <v>0.5</v>
      </c>
      <c r="E22" s="2"/>
    </row>
    <row r="23" spans="1:5" ht="18.600000000000001" customHeight="1">
      <c r="A23" s="121" t="s">
        <v>123</v>
      </c>
      <c r="B23" s="8"/>
      <c r="C23" s="133" t="s">
        <v>124</v>
      </c>
      <c r="D23" s="134">
        <v>-0.1</v>
      </c>
      <c r="E23" s="2"/>
    </row>
    <row r="24" spans="1:5" ht="71.25" customHeight="1">
      <c r="A24" s="669" t="s">
        <v>125</v>
      </c>
      <c r="B24" s="669"/>
      <c r="C24" s="669"/>
      <c r="D24" s="669"/>
      <c r="E24" s="669"/>
    </row>
  </sheetData>
  <mergeCells count="3">
    <mergeCell ref="A1:E1"/>
    <mergeCell ref="A2:D2"/>
    <mergeCell ref="A24:E2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Blad17">
    <tabColor rgb="FF92D050"/>
    <pageSetUpPr fitToPage="1"/>
  </sheetPr>
  <dimension ref="A1:E28"/>
  <sheetViews>
    <sheetView workbookViewId="0">
      <selection sqref="A1:E1"/>
    </sheetView>
  </sheetViews>
  <sheetFormatPr defaultRowHeight="12.75"/>
  <cols>
    <col min="1" max="1" width="76.6640625" customWidth="1"/>
    <col min="2" max="2" width="13.1640625" customWidth="1"/>
    <col min="3" max="4" width="12.83203125" customWidth="1"/>
    <col min="5" max="5" width="11.33203125" customWidth="1"/>
  </cols>
  <sheetData>
    <row r="1" spans="1:5" ht="68.25" customHeight="1">
      <c r="A1" s="537" t="s">
        <v>104</v>
      </c>
      <c r="B1" s="537"/>
      <c r="C1" s="537"/>
      <c r="D1" s="537"/>
      <c r="E1" s="537"/>
    </row>
    <row r="2" spans="1:5" ht="37.5" customHeight="1">
      <c r="A2" s="750" t="s">
        <v>105</v>
      </c>
      <c r="B2" s="750"/>
      <c r="C2" s="750"/>
      <c r="D2" s="750"/>
      <c r="E2" s="3"/>
    </row>
    <row r="3" spans="1:5" ht="18" customHeight="1">
      <c r="A3" s="115" t="s">
        <v>106</v>
      </c>
      <c r="B3" s="122" t="s">
        <v>107</v>
      </c>
      <c r="C3" s="15">
        <f>(('Screendoek (2)'!C3/(1+Korting!$B$3)*(1-Korting!$B$2)*Prijsmutaties!$F$9))</f>
        <v>0</v>
      </c>
      <c r="D3" s="15">
        <f>(('Screendoek (2)'!D3/(1+Korting!$B$3)*(1-Korting!$B$2)*Prijsmutaties!$F$9))</f>
        <v>53.402020180363643</v>
      </c>
      <c r="E3" s="2"/>
    </row>
    <row r="4" spans="1:5" ht="18" customHeight="1">
      <c r="A4" s="116" t="s">
        <v>108</v>
      </c>
      <c r="B4" s="125" t="s">
        <v>107</v>
      </c>
      <c r="C4" s="10">
        <f>(('Screendoek (2)'!C4/(1+Korting!$B$3)*(1-Korting!$B$2)*Prijsmutaties!$F$9))</f>
        <v>14.564187321917357</v>
      </c>
      <c r="D4" s="10">
        <f>(('Screendoek (2)'!D4/(1+Korting!$B$3)*(1-Korting!$B$2)*Prijsmutaties!$F$9))</f>
        <v>68.937153323742166</v>
      </c>
      <c r="E4" s="2"/>
    </row>
    <row r="5" spans="1:5" ht="18.95" customHeight="1">
      <c r="A5" s="121" t="s">
        <v>109</v>
      </c>
      <c r="B5" s="122" t="s">
        <v>107</v>
      </c>
      <c r="C5" s="15">
        <f>(('Screendoek (2)'!C5/(1+Korting!$B$3)*(1-Korting!$B$2)*Prijsmutaties!$F$9))</f>
        <v>23.788172625798349</v>
      </c>
      <c r="D5" s="15">
        <f>(('Screendoek (2)'!D5/(1+Korting!$B$3)*(1-Korting!$B$2)*Prijsmutaties!$F$9))</f>
        <v>78.161138627623146</v>
      </c>
      <c r="E5" s="2"/>
    </row>
    <row r="6" spans="1:5" ht="18" customHeight="1">
      <c r="A6" s="118"/>
      <c r="B6" s="125"/>
      <c r="C6" s="10"/>
      <c r="D6" s="10"/>
      <c r="E6" s="2"/>
    </row>
    <row r="7" spans="1:5" ht="18" customHeight="1">
      <c r="A7" s="8"/>
      <c r="B7" s="8"/>
      <c r="C7" s="243"/>
      <c r="D7" s="243"/>
      <c r="E7" s="2"/>
    </row>
    <row r="8" spans="1:5" ht="18" customHeight="1">
      <c r="A8" s="118"/>
      <c r="B8" s="125"/>
      <c r="C8" s="550" t="s">
        <v>380</v>
      </c>
      <c r="D8" s="551"/>
      <c r="E8" s="2"/>
    </row>
    <row r="9" spans="1:5" ht="18" customHeight="1">
      <c r="A9" s="410" t="s">
        <v>483</v>
      </c>
      <c r="B9" s="122"/>
      <c r="C9" s="753" t="s">
        <v>380</v>
      </c>
      <c r="D9" s="754"/>
      <c r="E9" s="2"/>
    </row>
    <row r="10" spans="1:5" ht="18" customHeight="1">
      <c r="A10" s="118" t="s">
        <v>381</v>
      </c>
      <c r="B10" s="125"/>
      <c r="C10" s="550" t="s">
        <v>380</v>
      </c>
      <c r="D10" s="551"/>
      <c r="E10" s="2"/>
    </row>
    <row r="11" spans="1:5" ht="18" customHeight="1">
      <c r="A11" s="410" t="s">
        <v>111</v>
      </c>
      <c r="B11" s="122"/>
      <c r="C11" s="753" t="s">
        <v>380</v>
      </c>
      <c r="D11" s="754"/>
      <c r="E11" s="2"/>
    </row>
    <row r="12" spans="1:5" ht="18" customHeight="1">
      <c r="A12" s="118" t="s">
        <v>112</v>
      </c>
      <c r="B12" s="125"/>
      <c r="C12" s="550" t="s">
        <v>380</v>
      </c>
      <c r="D12" s="551"/>
      <c r="E12" s="2"/>
    </row>
    <row r="13" spans="1:5" ht="20.100000000000001" customHeight="1">
      <c r="A13" s="751"/>
      <c r="B13" s="751"/>
      <c r="C13" s="751"/>
      <c r="D13" s="751"/>
      <c r="E13" s="3"/>
    </row>
    <row r="14" spans="1:5" ht="18" customHeight="1">
      <c r="A14" s="114" t="s">
        <v>113</v>
      </c>
      <c r="B14" s="113"/>
      <c r="C14" s="113"/>
      <c r="D14" s="113"/>
      <c r="E14" s="2"/>
    </row>
    <row r="15" spans="1:5" ht="18" customHeight="1">
      <c r="A15" s="370" t="s">
        <v>316</v>
      </c>
      <c r="B15" s="18"/>
      <c r="C15" s="130" t="s">
        <v>115</v>
      </c>
      <c r="D15" s="10">
        <f>(('Screendoek (2)'!D16/(1+Korting!$B$3)*(1-Korting!$B$2)*Prijsmutaties!$E$9))</f>
        <v>5.2375058253818185</v>
      </c>
      <c r="E15" s="2"/>
    </row>
    <row r="16" spans="1:5" ht="18" customHeight="1">
      <c r="A16" s="121" t="s">
        <v>114</v>
      </c>
      <c r="B16" s="8"/>
      <c r="C16" s="129" t="s">
        <v>115</v>
      </c>
      <c r="D16" s="15">
        <f>(('Screendoek (2)'!D17/(1+Korting!$B$3)*(1-Korting!$B$2)*Prijsmutaties!$E$9))</f>
        <v>15.712517476145456</v>
      </c>
      <c r="E16" s="2"/>
    </row>
    <row r="17" spans="1:5" ht="18" customHeight="1">
      <c r="A17" s="118" t="s">
        <v>116</v>
      </c>
      <c r="B17" s="18"/>
      <c r="C17" s="130" t="s">
        <v>117</v>
      </c>
      <c r="D17" s="10">
        <f>(('Screendoek (2)'!D18/(1+Korting!$B$3)*(1-Korting!$B$2)*Prijsmutaties!$F$9))</f>
        <v>42.72161614429092</v>
      </c>
      <c r="E17" s="2"/>
    </row>
    <row r="18" spans="1:5" ht="18.95" customHeight="1">
      <c r="A18" s="121" t="s">
        <v>118</v>
      </c>
      <c r="B18" s="8"/>
      <c r="C18" s="129" t="s">
        <v>117</v>
      </c>
      <c r="D18" s="131">
        <v>0.4</v>
      </c>
      <c r="E18" s="2"/>
    </row>
    <row r="19" spans="1:5" ht="18" customHeight="1">
      <c r="A19" s="118" t="s">
        <v>119</v>
      </c>
      <c r="B19" s="18"/>
      <c r="C19" s="130" t="s">
        <v>117</v>
      </c>
      <c r="D19" s="10">
        <f>(('Screendoek (2)'!D20/(1+Korting!$B$3)*(1-Korting!$B$2)*Prijsmutaties!$E$9))</f>
        <v>9.0466009711140494</v>
      </c>
      <c r="E19" s="2"/>
    </row>
    <row r="20" spans="1:5" ht="18" customHeight="1">
      <c r="A20" s="121" t="s">
        <v>120</v>
      </c>
      <c r="B20" s="8"/>
      <c r="C20" s="129" t="s">
        <v>121</v>
      </c>
      <c r="D20" s="15">
        <f>(('Screendoek (2)'!D21/(1+Korting!$B$3)*(1-Korting!$B$2)*Prijsmutaties!$E$9))</f>
        <v>9.0466009711140494</v>
      </c>
      <c r="E20" s="2"/>
    </row>
    <row r="21" spans="1:5" ht="18.600000000000001" customHeight="1">
      <c r="A21" s="118" t="s">
        <v>122</v>
      </c>
      <c r="B21" s="18"/>
      <c r="C21" s="550" t="s">
        <v>380</v>
      </c>
      <c r="D21" s="551"/>
      <c r="E21" s="2"/>
    </row>
    <row r="22" spans="1:5" ht="16.5">
      <c r="A22" s="121" t="s">
        <v>123</v>
      </c>
      <c r="B22" s="8"/>
      <c r="C22" s="133" t="s">
        <v>124</v>
      </c>
      <c r="D22" s="131">
        <v>-0.1</v>
      </c>
    </row>
    <row r="24" spans="1:5" ht="12.75" customHeight="1">
      <c r="A24" s="752" t="s">
        <v>318</v>
      </c>
      <c r="B24" s="752"/>
      <c r="C24" s="752"/>
      <c r="D24" s="752"/>
      <c r="E24" s="311"/>
    </row>
    <row r="25" spans="1:5" ht="12.75" customHeight="1">
      <c r="A25" s="752"/>
      <c r="B25" s="752"/>
      <c r="C25" s="752"/>
      <c r="D25" s="752"/>
      <c r="E25" s="311"/>
    </row>
    <row r="26" spans="1:5">
      <c r="A26" s="752"/>
      <c r="B26" s="752"/>
      <c r="C26" s="752"/>
      <c r="D26" s="752"/>
      <c r="E26" s="311"/>
    </row>
    <row r="27" spans="1:5">
      <c r="A27" s="752"/>
      <c r="B27" s="752"/>
      <c r="C27" s="752"/>
      <c r="D27" s="752"/>
      <c r="E27" s="311"/>
    </row>
    <row r="28" spans="1:5">
      <c r="A28" s="311"/>
      <c r="B28" s="311"/>
      <c r="C28" s="311"/>
      <c r="D28" s="311"/>
      <c r="E28" s="311"/>
    </row>
  </sheetData>
  <sheetProtection algorithmName="SHA-512" hashValue="p1gjdqgh0HOwuanKNeebMaMopF4g7rKVpbgv8F0b2T3/bgVXrUMgJeBCvKA+ws5HJbkr9Jqig2T3s7NMIvMEsA==" saltValue="DWHtXbs+VaRdMM2sWMlWxQ==" spinCount="100000" sheet="1" objects="1" scenarios="1"/>
  <mergeCells count="10">
    <mergeCell ref="A1:E1"/>
    <mergeCell ref="A2:D2"/>
    <mergeCell ref="A13:D13"/>
    <mergeCell ref="C21:D21"/>
    <mergeCell ref="A24:D27"/>
    <mergeCell ref="C8:D8"/>
    <mergeCell ref="C10:D10"/>
    <mergeCell ref="C12:D12"/>
    <mergeCell ref="C11:D11"/>
    <mergeCell ref="C9:D9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  <headerFooter>
    <oddFooter>&amp;L&amp;D&amp;C&amp;F
Tabblad &amp;A&amp;RInkoopprijslijst excl. BTW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A4F1-D0F2-4F42-A55C-A02FE80AFFA7}">
  <sheetPr codeName="Blad18">
    <tabColor theme="7" tint="-0.249977111117893"/>
  </sheetPr>
  <dimension ref="A1:J29"/>
  <sheetViews>
    <sheetView topLeftCell="A7" workbookViewId="0">
      <selection activeCell="H20" sqref="H20:I20"/>
    </sheetView>
  </sheetViews>
  <sheetFormatPr defaultRowHeight="12.75"/>
  <cols>
    <col min="1" max="2" width="11.1640625" customWidth="1"/>
    <col min="3" max="3" width="10.33203125" customWidth="1"/>
    <col min="4" max="4" width="17.83203125" customWidth="1"/>
    <col min="5" max="5" width="12.6640625" customWidth="1"/>
    <col min="6" max="6" width="10" customWidth="1"/>
    <col min="7" max="7" width="8.83203125" customWidth="1"/>
    <col min="8" max="8" width="22.83203125" customWidth="1"/>
    <col min="9" max="9" width="10" customWidth="1"/>
    <col min="10" max="10" width="22.5" customWidth="1"/>
  </cols>
  <sheetData>
    <row r="1" spans="1:10" ht="33.75" customHeight="1">
      <c r="A1" s="758" t="s">
        <v>126</v>
      </c>
      <c r="B1" s="758"/>
      <c r="C1" s="758"/>
      <c r="D1" s="758"/>
      <c r="E1" s="758"/>
      <c r="F1" s="758"/>
      <c r="G1" s="758"/>
      <c r="H1" s="758"/>
      <c r="I1" s="758"/>
      <c r="J1" s="758"/>
    </row>
    <row r="2" spans="1:10" ht="24" customHeight="1">
      <c r="A2" s="759" t="s">
        <v>261</v>
      </c>
      <c r="B2" s="760"/>
      <c r="C2" s="760"/>
      <c r="D2" s="760"/>
      <c r="E2" s="760"/>
      <c r="F2" s="760"/>
      <c r="G2" s="760"/>
      <c r="H2" s="760"/>
      <c r="I2" s="760"/>
    </row>
    <row r="3" spans="1:10" ht="16.5" customHeight="1">
      <c r="A3" s="761"/>
      <c r="B3" s="761"/>
      <c r="C3" s="761"/>
      <c r="D3" s="761"/>
      <c r="E3" s="761"/>
      <c r="F3" s="761"/>
      <c r="G3" s="761"/>
      <c r="H3" s="762" t="s">
        <v>319</v>
      </c>
      <c r="I3" s="762"/>
    </row>
    <row r="4" spans="1:10" ht="16.5" customHeight="1">
      <c r="A4" s="761"/>
      <c r="B4" s="761"/>
      <c r="C4" s="761"/>
      <c r="D4" s="761"/>
      <c r="E4" s="761"/>
      <c r="F4" s="761"/>
      <c r="G4" s="761"/>
      <c r="H4" s="35" t="s">
        <v>127</v>
      </c>
      <c r="I4" s="110">
        <v>-272</v>
      </c>
    </row>
    <row r="5" spans="1:10" ht="33" customHeight="1">
      <c r="A5" s="546" t="s">
        <v>128</v>
      </c>
      <c r="B5" s="546"/>
      <c r="C5" s="546"/>
      <c r="D5" s="546"/>
      <c r="E5" s="763" t="s">
        <v>129</v>
      </c>
      <c r="F5" s="763"/>
      <c r="G5" s="763"/>
      <c r="H5" s="311"/>
      <c r="I5" s="311">
        <v>-163</v>
      </c>
      <c r="J5" s="311"/>
    </row>
    <row r="6" spans="1:10" ht="18.2" customHeight="1">
      <c r="A6" s="105" t="s">
        <v>130</v>
      </c>
      <c r="B6" s="101" t="s">
        <v>131</v>
      </c>
      <c r="C6" s="215" t="s">
        <v>132</v>
      </c>
      <c r="E6" s="105" t="s">
        <v>130</v>
      </c>
      <c r="F6" s="101" t="s">
        <v>131</v>
      </c>
      <c r="G6" s="756" t="s">
        <v>132</v>
      </c>
      <c r="H6" s="757"/>
      <c r="I6">
        <v>-145</v>
      </c>
    </row>
    <row r="7" spans="1:10" ht="18.2" customHeight="1">
      <c r="A7" s="105" t="s">
        <v>133</v>
      </c>
      <c r="B7" s="101" t="s">
        <v>134</v>
      </c>
      <c r="C7" s="215" t="s">
        <v>135</v>
      </c>
      <c r="E7" s="105" t="s">
        <v>133</v>
      </c>
      <c r="F7" s="101" t="s">
        <v>134</v>
      </c>
      <c r="G7" s="756" t="s">
        <v>135</v>
      </c>
      <c r="H7" s="757"/>
      <c r="I7">
        <v>-46.5</v>
      </c>
    </row>
    <row r="8" spans="1:10" ht="18.2" customHeight="1">
      <c r="A8" s="13">
        <v>300</v>
      </c>
      <c r="B8" s="15">
        <v>1749</v>
      </c>
      <c r="C8" s="189">
        <v>1799</v>
      </c>
      <c r="E8" s="18"/>
      <c r="F8" s="8"/>
      <c r="G8" s="584"/>
      <c r="H8" s="585"/>
    </row>
    <row r="9" spans="1:10" ht="18.2" customHeight="1">
      <c r="A9" s="13">
        <v>350</v>
      </c>
      <c r="B9" s="15">
        <v>1809</v>
      </c>
      <c r="C9" s="189">
        <v>1859</v>
      </c>
      <c r="E9" s="13">
        <v>350</v>
      </c>
      <c r="F9" s="15">
        <v>2000</v>
      </c>
      <c r="G9" s="550">
        <v>2050</v>
      </c>
      <c r="H9" s="551"/>
    </row>
    <row r="10" spans="1:10" ht="18.2" customHeight="1">
      <c r="A10" s="13">
        <v>400</v>
      </c>
      <c r="B10" s="15">
        <v>1899</v>
      </c>
      <c r="C10" s="189">
        <v>1949</v>
      </c>
      <c r="E10" s="13">
        <v>400</v>
      </c>
      <c r="F10" s="15">
        <v>2029</v>
      </c>
      <c r="G10" s="550">
        <v>2079</v>
      </c>
      <c r="H10" s="551"/>
    </row>
    <row r="11" spans="1:10" ht="18.2" customHeight="1">
      <c r="A11" s="13">
        <v>450</v>
      </c>
      <c r="B11" s="15">
        <v>1989</v>
      </c>
      <c r="C11" s="189">
        <v>2039</v>
      </c>
      <c r="E11" s="13">
        <v>450</v>
      </c>
      <c r="F11" s="15">
        <v>2129</v>
      </c>
      <c r="G11" s="550">
        <v>2179</v>
      </c>
      <c r="H11" s="551"/>
    </row>
    <row r="12" spans="1:10" ht="18.2" customHeight="1">
      <c r="A12" s="13">
        <v>500</v>
      </c>
      <c r="B12" s="15">
        <v>2079</v>
      </c>
      <c r="C12" s="189">
        <v>2129</v>
      </c>
      <c r="E12" s="13">
        <v>500</v>
      </c>
      <c r="F12" s="15">
        <v>2239</v>
      </c>
      <c r="G12" s="550">
        <v>2289</v>
      </c>
      <c r="H12" s="551"/>
    </row>
    <row r="13" spans="1:10" ht="18.2" customHeight="1">
      <c r="A13" s="13">
        <v>550</v>
      </c>
      <c r="B13" s="15">
        <v>2159</v>
      </c>
      <c r="C13" s="189">
        <v>2209</v>
      </c>
      <c r="E13" s="13">
        <v>550</v>
      </c>
      <c r="F13" s="112"/>
      <c r="G13" s="684">
        <v>2369</v>
      </c>
      <c r="H13" s="685"/>
    </row>
    <row r="14" spans="1:10" ht="33.75" customHeight="1">
      <c r="A14" s="758" t="s">
        <v>136</v>
      </c>
      <c r="B14" s="758"/>
      <c r="C14" s="758"/>
      <c r="D14" s="758"/>
      <c r="E14" s="758"/>
      <c r="F14" s="758"/>
      <c r="G14" s="758"/>
      <c r="H14" s="758"/>
      <c r="I14" s="758"/>
      <c r="J14" s="758"/>
    </row>
    <row r="15" spans="1:10" ht="24" customHeight="1">
      <c r="A15" s="759" t="s">
        <v>262</v>
      </c>
      <c r="B15" s="760"/>
      <c r="C15" s="760"/>
      <c r="D15" s="760"/>
      <c r="E15" s="760"/>
      <c r="F15" s="760"/>
      <c r="G15" s="760"/>
      <c r="H15" s="760"/>
      <c r="I15" s="760"/>
    </row>
    <row r="16" spans="1:10" ht="16.5" customHeight="1">
      <c r="A16" s="764" t="s">
        <v>263</v>
      </c>
      <c r="B16" s="765"/>
      <c r="C16" s="765"/>
      <c r="D16" s="765"/>
      <c r="E16" s="765"/>
      <c r="F16" s="765"/>
      <c r="G16" s="765"/>
      <c r="H16" s="765"/>
      <c r="I16" s="765"/>
      <c r="J16" s="765"/>
    </row>
    <row r="17" spans="1:10" ht="18.2" customHeight="1">
      <c r="A17" s="105" t="s">
        <v>130</v>
      </c>
      <c r="B17" s="101" t="s">
        <v>131</v>
      </c>
      <c r="C17" s="756" t="s">
        <v>132</v>
      </c>
      <c r="D17" s="757"/>
      <c r="F17" s="105" t="s">
        <v>130</v>
      </c>
      <c r="G17" s="101" t="s">
        <v>131</v>
      </c>
      <c r="H17" s="215" t="s">
        <v>132</v>
      </c>
    </row>
    <row r="18" spans="1:10" ht="18.2" customHeight="1">
      <c r="A18" s="105" t="s">
        <v>133</v>
      </c>
      <c r="B18" s="101" t="s">
        <v>134</v>
      </c>
      <c r="C18" s="756" t="s">
        <v>135</v>
      </c>
      <c r="D18" s="757"/>
      <c r="F18" s="105" t="s">
        <v>133</v>
      </c>
      <c r="G18" s="101" t="s">
        <v>134</v>
      </c>
      <c r="H18" s="215" t="s">
        <v>135</v>
      </c>
    </row>
    <row r="19" spans="1:10" ht="18.2" customHeight="1">
      <c r="A19" s="13">
        <v>300</v>
      </c>
      <c r="B19" s="15">
        <v>1899</v>
      </c>
      <c r="C19" s="550">
        <f>B19+50-$J$19</f>
        <v>1942.9930483944649</v>
      </c>
      <c r="D19" s="551"/>
      <c r="F19" s="18"/>
      <c r="G19" s="8"/>
      <c r="H19" s="185"/>
      <c r="J19">
        <f>50-(50/1.061/1.03/1.04)</f>
        <v>6.0069516055351002</v>
      </c>
    </row>
    <row r="20" spans="1:10" ht="18.2" customHeight="1">
      <c r="A20" s="13">
        <v>350</v>
      </c>
      <c r="B20" s="15">
        <v>1959</v>
      </c>
      <c r="C20" s="550">
        <f t="shared" ref="C20:C24" si="0">B20+50-$J$19</f>
        <v>2002.9930483944649</v>
      </c>
      <c r="D20" s="551"/>
      <c r="F20" s="13">
        <v>350</v>
      </c>
      <c r="G20" s="15">
        <v>2109</v>
      </c>
      <c r="H20" s="550">
        <f>G20+50-$J$19</f>
        <v>2152.9930483944649</v>
      </c>
      <c r="I20" s="551"/>
    </row>
    <row r="21" spans="1:10" ht="18.2" customHeight="1">
      <c r="A21" s="13">
        <v>400</v>
      </c>
      <c r="B21" s="15">
        <v>2069</v>
      </c>
      <c r="C21" s="550">
        <f t="shared" si="0"/>
        <v>2112.9930483944649</v>
      </c>
      <c r="D21" s="551"/>
      <c r="F21" s="13">
        <v>400</v>
      </c>
      <c r="G21" s="15">
        <v>2219</v>
      </c>
      <c r="H21" s="550">
        <f t="shared" ref="H21:H24" si="1">G21+50-$J$19</f>
        <v>2262.9930483944649</v>
      </c>
      <c r="I21" s="551"/>
    </row>
    <row r="22" spans="1:10" ht="18.2" customHeight="1">
      <c r="A22" s="13">
        <v>450</v>
      </c>
      <c r="B22" s="15">
        <v>2179</v>
      </c>
      <c r="C22" s="550">
        <f t="shared" si="0"/>
        <v>2222.9930483944649</v>
      </c>
      <c r="D22" s="551"/>
      <c r="F22" s="13">
        <v>450</v>
      </c>
      <c r="G22" s="15">
        <v>2329</v>
      </c>
      <c r="H22" s="550">
        <f t="shared" si="1"/>
        <v>2372.9930483944649</v>
      </c>
      <c r="I22" s="551"/>
    </row>
    <row r="23" spans="1:10" ht="18.2" customHeight="1">
      <c r="A23" s="13">
        <v>500</v>
      </c>
      <c r="B23" s="15">
        <v>2289</v>
      </c>
      <c r="C23" s="550">
        <f t="shared" si="0"/>
        <v>2332.9930483944649</v>
      </c>
      <c r="D23" s="551"/>
      <c r="F23" s="13">
        <v>500</v>
      </c>
      <c r="G23" s="15">
        <v>2449</v>
      </c>
      <c r="H23" s="550">
        <f t="shared" si="1"/>
        <v>2492.9930483944649</v>
      </c>
      <c r="I23" s="551"/>
    </row>
    <row r="24" spans="1:10" ht="18.2" customHeight="1">
      <c r="A24" s="13">
        <v>550</v>
      </c>
      <c r="B24" s="15">
        <v>2389</v>
      </c>
      <c r="C24" s="550">
        <f t="shared" si="0"/>
        <v>2432.9930483944649</v>
      </c>
      <c r="D24" s="551"/>
      <c r="F24" s="13">
        <v>500</v>
      </c>
      <c r="G24" s="15">
        <v>2540</v>
      </c>
      <c r="H24" s="550">
        <f t="shared" si="1"/>
        <v>2583.9930483944649</v>
      </c>
      <c r="I24" s="551"/>
    </row>
    <row r="25" spans="1:10" ht="18.2" customHeight="1">
      <c r="A25" s="174"/>
      <c r="B25" s="174"/>
      <c r="C25" s="174"/>
      <c r="E25" s="175"/>
      <c r="F25" s="173"/>
      <c r="G25" s="176"/>
      <c r="H25" s="176"/>
    </row>
    <row r="26" spans="1:10" ht="17.100000000000001" customHeight="1">
      <c r="A26" s="755" t="s">
        <v>7</v>
      </c>
      <c r="B26" s="755"/>
      <c r="C26" s="755"/>
      <c r="D26" s="755"/>
      <c r="E26" s="755"/>
      <c r="F26" s="755"/>
    </row>
    <row r="27" spans="1:10" ht="18.2" customHeight="1">
      <c r="A27" s="539" t="s">
        <v>9</v>
      </c>
      <c r="B27" s="540"/>
      <c r="C27" s="540"/>
      <c r="D27" s="540"/>
      <c r="E27" s="541"/>
      <c r="F27" s="36">
        <v>70</v>
      </c>
    </row>
    <row r="28" spans="1:10" ht="18.2" customHeight="1">
      <c r="A28" s="574" t="s">
        <v>485</v>
      </c>
      <c r="B28" s="543"/>
      <c r="C28" s="543"/>
      <c r="D28" s="543"/>
      <c r="E28" s="544"/>
      <c r="F28" s="38">
        <v>69</v>
      </c>
    </row>
    <row r="29" spans="1:10" ht="18.2" customHeight="1">
      <c r="A29" s="605" t="s">
        <v>486</v>
      </c>
      <c r="B29" s="540"/>
      <c r="C29" s="540"/>
      <c r="D29" s="540"/>
      <c r="E29" s="541"/>
      <c r="F29" s="36">
        <v>96</v>
      </c>
    </row>
  </sheetData>
  <mergeCells count="34">
    <mergeCell ref="A16:J16"/>
    <mergeCell ref="A14:J14"/>
    <mergeCell ref="A15:I15"/>
    <mergeCell ref="G9:H9"/>
    <mergeCell ref="G10:H10"/>
    <mergeCell ref="G11:H11"/>
    <mergeCell ref="G6:H6"/>
    <mergeCell ref="G7:H7"/>
    <mergeCell ref="G8:H8"/>
    <mergeCell ref="G12:H12"/>
    <mergeCell ref="G13:H13"/>
    <mergeCell ref="A1:J1"/>
    <mergeCell ref="A2:I2"/>
    <mergeCell ref="A3:G4"/>
    <mergeCell ref="H3:I3"/>
    <mergeCell ref="A5:D5"/>
    <mergeCell ref="E5:G5"/>
    <mergeCell ref="C17:D17"/>
    <mergeCell ref="C18:D18"/>
    <mergeCell ref="C19:D19"/>
    <mergeCell ref="H20:I20"/>
    <mergeCell ref="H21:I21"/>
    <mergeCell ref="C20:D20"/>
    <mergeCell ref="C21:D21"/>
    <mergeCell ref="H22:I22"/>
    <mergeCell ref="A28:E28"/>
    <mergeCell ref="A29:E29"/>
    <mergeCell ref="C23:D23"/>
    <mergeCell ref="C24:D24"/>
    <mergeCell ref="A26:F26"/>
    <mergeCell ref="A27:E27"/>
    <mergeCell ref="H23:I23"/>
    <mergeCell ref="H24:I24"/>
    <mergeCell ref="C22:D2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Blad19">
    <tabColor theme="7" tint="-0.249977111117893"/>
    <pageSetUpPr fitToPage="1"/>
  </sheetPr>
  <dimension ref="A1:J30"/>
  <sheetViews>
    <sheetView topLeftCell="A5" workbookViewId="0">
      <selection sqref="A1:I1"/>
    </sheetView>
  </sheetViews>
  <sheetFormatPr defaultRowHeight="12.75"/>
  <cols>
    <col min="1" max="1" width="11.1640625" customWidth="1"/>
    <col min="2" max="2" width="13" customWidth="1"/>
    <col min="3" max="3" width="12.1640625" customWidth="1"/>
    <col min="4" max="4" width="14.6640625" customWidth="1"/>
    <col min="5" max="5" width="12.6640625" customWidth="1"/>
    <col min="6" max="6" width="10" customWidth="1"/>
    <col min="7" max="7" width="13.1640625" customWidth="1"/>
    <col min="8" max="8" width="20.83203125" bestFit="1" customWidth="1"/>
    <col min="9" max="9" width="10" customWidth="1"/>
    <col min="10" max="10" width="22.5" customWidth="1"/>
  </cols>
  <sheetData>
    <row r="1" spans="1:10" ht="33.75" customHeight="1">
      <c r="A1" s="767" t="s">
        <v>397</v>
      </c>
      <c r="B1" s="767"/>
      <c r="C1" s="767"/>
      <c r="D1" s="767"/>
      <c r="E1" s="767"/>
      <c r="F1" s="767"/>
      <c r="G1" s="767"/>
      <c r="H1" s="767"/>
      <c r="I1" s="767"/>
      <c r="J1" s="474"/>
    </row>
    <row r="2" spans="1:10" ht="24" customHeight="1">
      <c r="A2" s="759" t="s">
        <v>261</v>
      </c>
      <c r="B2" s="760"/>
      <c r="C2" s="760"/>
      <c r="D2" s="760"/>
      <c r="E2" s="760"/>
      <c r="F2" s="760"/>
      <c r="G2" s="760"/>
      <c r="H2" s="760"/>
      <c r="I2" s="760"/>
    </row>
    <row r="3" spans="1:10" ht="16.5" customHeight="1">
      <c r="A3" s="761"/>
      <c r="B3" s="761"/>
      <c r="C3" s="761"/>
      <c r="D3" s="761"/>
      <c r="E3" s="761"/>
      <c r="F3" s="761"/>
      <c r="G3" s="761"/>
      <c r="H3" s="762" t="s">
        <v>387</v>
      </c>
      <c r="I3" s="762"/>
    </row>
    <row r="4" spans="1:10" ht="16.5" customHeight="1">
      <c r="A4" s="761"/>
      <c r="B4" s="761"/>
      <c r="C4" s="761"/>
      <c r="D4" s="761"/>
      <c r="E4" s="761"/>
      <c r="F4" s="761"/>
      <c r="G4" s="761"/>
      <c r="H4" s="380" t="s">
        <v>320</v>
      </c>
      <c r="I4" s="45">
        <f>(('SunBasic (2)'!I4/(1+Korting!$B$3)*(1-Korting!$B$2)*Prijsmutaties!$J$9))</f>
        <v>-247.85258833719004</v>
      </c>
    </row>
    <row r="5" spans="1:10" ht="33" customHeight="1">
      <c r="A5" s="769" t="s">
        <v>384</v>
      </c>
      <c r="B5" s="769"/>
      <c r="C5" s="769"/>
      <c r="D5" s="311"/>
      <c r="E5" s="769" t="s">
        <v>385</v>
      </c>
      <c r="F5" s="769"/>
      <c r="G5" s="769"/>
      <c r="H5" s="464" t="s">
        <v>321</v>
      </c>
      <c r="I5" s="465">
        <f>(('SunBasic (2)'!I5/(1+Korting!$B$3)*(1-Korting!$B$2)*Prijsmutaties!$J$9))</f>
        <v>-148.52930845206612</v>
      </c>
      <c r="J5" s="311"/>
    </row>
    <row r="6" spans="1:10" ht="18.2" customHeight="1">
      <c r="A6" s="105" t="s">
        <v>130</v>
      </c>
      <c r="B6" s="101" t="s">
        <v>382</v>
      </c>
      <c r="C6" s="462"/>
      <c r="E6" s="105" t="s">
        <v>130</v>
      </c>
      <c r="F6" s="101" t="s">
        <v>382</v>
      </c>
      <c r="G6" s="462"/>
      <c r="H6" s="380" t="s">
        <v>322</v>
      </c>
      <c r="I6" s="45">
        <f>(('SunBasic (2)'!I6/(1+Korting!$B$3)*(1-Korting!$B$2)*Prijsmutaties!$J$9))</f>
        <v>-132.12729892975204</v>
      </c>
    </row>
    <row r="7" spans="1:10" ht="18.2" customHeight="1">
      <c r="A7" s="105" t="s">
        <v>133</v>
      </c>
      <c r="B7" s="101" t="s">
        <v>383</v>
      </c>
      <c r="C7" s="463"/>
      <c r="E7" s="105" t="s">
        <v>133</v>
      </c>
      <c r="F7" s="101" t="s">
        <v>383</v>
      </c>
      <c r="G7" s="463"/>
      <c r="H7" s="464" t="s">
        <v>386</v>
      </c>
      <c r="I7" s="465">
        <f>(('SunBasic (2)'!I7/(1+Korting!$B$3)*(1-Korting!$B$2)*Prijsmutaties!$J$9))</f>
        <v>-42.371857932644623</v>
      </c>
    </row>
    <row r="8" spans="1:10" ht="18.2" customHeight="1">
      <c r="A8" s="13">
        <v>300</v>
      </c>
      <c r="B8" s="461">
        <f>(('SunBasic (2)'!C8/(1+Korting!$B$3)*(1-Korting!$B$2)*Prijsmutaties!$C$9))</f>
        <v>1781.5054172786909</v>
      </c>
      <c r="C8" s="458"/>
      <c r="E8" s="18"/>
      <c r="F8" s="461"/>
      <c r="G8" s="458"/>
      <c r="H8" s="313"/>
    </row>
    <row r="9" spans="1:10" ht="18.2" customHeight="1">
      <c r="A9" s="13">
        <v>350</v>
      </c>
      <c r="B9" s="461">
        <f>(('SunBasic (2)'!C9/(1+Korting!$B$3)*(1-Korting!$B$2)*Prijsmutaties!$C$9))</f>
        <v>1840.9219403674745</v>
      </c>
      <c r="C9" s="458"/>
      <c r="E9" s="13">
        <v>350</v>
      </c>
      <c r="F9" s="461">
        <f>(('SunBasic (2)'!G9/(1+Korting!$B$3)*(1-Korting!$B$2)*Prijsmutaties!$C$9))</f>
        <v>2030.0645388667683</v>
      </c>
      <c r="G9" s="458"/>
      <c r="H9" s="281"/>
    </row>
    <row r="10" spans="1:10" ht="18.2" customHeight="1">
      <c r="A10" s="13">
        <v>400</v>
      </c>
      <c r="B10" s="461">
        <f>(('SunBasic (2)'!C10/(1+Korting!$B$3)*(1-Korting!$B$2)*Prijsmutaties!$C$9))</f>
        <v>1930.0467250006495</v>
      </c>
      <c r="C10" s="458"/>
      <c r="E10" s="13">
        <v>400</v>
      </c>
      <c r="F10" s="461">
        <f>(('SunBasic (2)'!G10/(1+Korting!$B$3)*(1-Korting!$B$2)*Prijsmutaties!$C$9))</f>
        <v>2058.7825250263472</v>
      </c>
      <c r="G10" s="458"/>
      <c r="H10" s="281"/>
    </row>
    <row r="11" spans="1:10" ht="18.2" customHeight="1">
      <c r="A11" s="13">
        <v>450</v>
      </c>
      <c r="B11" s="461">
        <f>(('SunBasic (2)'!C11/(1+Korting!$B$3)*(1-Korting!$B$2)*Prijsmutaties!$C$9))</f>
        <v>2019.1715096338248</v>
      </c>
      <c r="C11" s="458"/>
      <c r="E11" s="13">
        <v>450</v>
      </c>
      <c r="F11" s="461">
        <f>(('SunBasic (2)'!G11/(1+Korting!$B$3)*(1-Korting!$B$2)*Prijsmutaties!$C$9))</f>
        <v>2157.810063507653</v>
      </c>
      <c r="G11" s="458"/>
      <c r="H11" s="281"/>
    </row>
    <row r="12" spans="1:10" ht="18.2" customHeight="1">
      <c r="A12" s="13">
        <v>500</v>
      </c>
      <c r="B12" s="461">
        <f>(('SunBasic (2)'!C12/(1+Korting!$B$3)*(1-Korting!$B$2)*Prijsmutaties!$C$9))</f>
        <v>2108.2962942670001</v>
      </c>
      <c r="C12" s="458"/>
      <c r="E12" s="13">
        <v>500</v>
      </c>
      <c r="F12" s="461">
        <f>(('SunBasic (2)'!G12/(1+Korting!$B$3)*(1-Korting!$B$2)*Prijsmutaties!$C$9))</f>
        <v>2266.7403558370888</v>
      </c>
      <c r="G12" s="458"/>
      <c r="H12" s="281"/>
    </row>
    <row r="13" spans="1:10" ht="18.2" customHeight="1">
      <c r="A13" s="13">
        <v>550</v>
      </c>
      <c r="B13" s="461">
        <f>(('SunBasic (2)'!C13/(1+Korting!$B$3)*(1-Korting!$B$2)*Prijsmutaties!$C$9))</f>
        <v>2187.5183250520445</v>
      </c>
      <c r="C13" s="458"/>
      <c r="E13" s="13">
        <v>550</v>
      </c>
      <c r="F13" s="461">
        <f>(('SunBasic (2)'!G13/(1+Korting!$B$3)*(1-Korting!$B$2)*Prijsmutaties!$C$9))</f>
        <v>2345.9623866221336</v>
      </c>
      <c r="G13" s="458"/>
      <c r="H13" s="314"/>
    </row>
    <row r="14" spans="1:10" ht="33.75" customHeight="1">
      <c r="A14" s="768" t="s">
        <v>136</v>
      </c>
      <c r="B14" s="768"/>
      <c r="C14" s="768"/>
      <c r="D14" s="768"/>
      <c r="E14" s="768"/>
      <c r="F14" s="768"/>
      <c r="G14" s="768"/>
      <c r="H14" s="768"/>
      <c r="I14" s="768"/>
      <c r="J14" s="474"/>
    </row>
    <row r="15" spans="1:10" ht="24" customHeight="1">
      <c r="A15" s="759" t="s">
        <v>262</v>
      </c>
      <c r="B15" s="760"/>
      <c r="C15" s="760"/>
      <c r="D15" s="760"/>
      <c r="E15" s="760"/>
      <c r="F15" s="760"/>
      <c r="G15" s="760"/>
      <c r="H15" s="760"/>
      <c r="I15" s="760"/>
    </row>
    <row r="16" spans="1:10" ht="16.5" customHeight="1">
      <c r="A16" s="764" t="s">
        <v>263</v>
      </c>
      <c r="B16" s="765"/>
      <c r="C16" s="765"/>
      <c r="D16" s="765"/>
      <c r="E16" s="765"/>
      <c r="F16" s="765"/>
      <c r="G16" s="765"/>
      <c r="H16" s="765"/>
      <c r="I16" s="765"/>
      <c r="J16" s="765"/>
    </row>
    <row r="17" spans="1:9" ht="18.2" customHeight="1">
      <c r="A17" s="105" t="s">
        <v>130</v>
      </c>
      <c r="B17" s="101" t="s">
        <v>382</v>
      </c>
      <c r="C17" s="462"/>
      <c r="D17" s="312"/>
      <c r="E17" s="31" t="s">
        <v>130</v>
      </c>
      <c r="F17" s="101" t="s">
        <v>382</v>
      </c>
      <c r="G17" s="462"/>
      <c r="H17" s="762" t="s">
        <v>387</v>
      </c>
      <c r="I17" s="762"/>
    </row>
    <row r="18" spans="1:9" ht="18.2" customHeight="1">
      <c r="A18" s="105" t="s">
        <v>133</v>
      </c>
      <c r="B18" s="101" t="s">
        <v>383</v>
      </c>
      <c r="C18" s="463"/>
      <c r="D18" s="312"/>
      <c r="E18" s="31" t="s">
        <v>133</v>
      </c>
      <c r="F18" s="101" t="s">
        <v>383</v>
      </c>
      <c r="G18" s="463"/>
      <c r="H18" s="380" t="s">
        <v>321</v>
      </c>
      <c r="I18" s="45">
        <f>I5</f>
        <v>-148.52930845206612</v>
      </c>
    </row>
    <row r="19" spans="1:9" ht="18.2" customHeight="1">
      <c r="A19" s="13">
        <v>300</v>
      </c>
      <c r="B19" s="461">
        <f>(('SunBasic (2)'!C19/(1+Korting!$B$3)*(1-Korting!$B$2)*Prijsmutaties!$C$9))</f>
        <v>1924.0981886879249</v>
      </c>
      <c r="C19" s="458"/>
      <c r="D19" s="281"/>
      <c r="E19" s="295"/>
      <c r="F19" s="461"/>
      <c r="G19" s="458"/>
      <c r="H19" s="464" t="s">
        <v>322</v>
      </c>
      <c r="I19" s="465">
        <f>I6</f>
        <v>-132.12729892975204</v>
      </c>
    </row>
    <row r="20" spans="1:9" ht="18.2" customHeight="1">
      <c r="A20" s="13">
        <v>350</v>
      </c>
      <c r="B20" s="461">
        <f>(('SunBasic (2)'!C20/(1+Korting!$B$3)*(1-Korting!$B$2)*Prijsmutaties!$C$9))</f>
        <v>1983.5147117767083</v>
      </c>
      <c r="C20" s="458"/>
      <c r="D20" s="281"/>
      <c r="E20" s="9">
        <v>350</v>
      </c>
      <c r="F20" s="461">
        <f>(('SunBasic (2)'!H20/(1+Korting!$B$3)*(1-Korting!$B$2)*Prijsmutaties!$C$9))</f>
        <v>2132.056019498667</v>
      </c>
      <c r="G20" s="458"/>
      <c r="H20" s="380" t="s">
        <v>386</v>
      </c>
      <c r="I20" s="45">
        <f>I7</f>
        <v>-42.371857932644623</v>
      </c>
    </row>
    <row r="21" spans="1:9" ht="18.2" customHeight="1">
      <c r="A21" s="13">
        <v>400</v>
      </c>
      <c r="B21" s="461">
        <f>(('SunBasic (2)'!C21/(1+Korting!$B$3)*(1-Korting!$B$2)*Prijsmutaties!$C$9))</f>
        <v>2092.4450041061446</v>
      </c>
      <c r="C21" s="458"/>
      <c r="D21" s="281"/>
      <c r="E21" s="9">
        <v>400</v>
      </c>
      <c r="F21" s="461">
        <f>(('SunBasic (2)'!H21/(1+Korting!$B$3)*(1-Korting!$B$2)*Prijsmutaties!$C$9))</f>
        <v>2240.9863118281032</v>
      </c>
      <c r="G21" s="458"/>
    </row>
    <row r="22" spans="1:9" ht="18.2" customHeight="1">
      <c r="A22" s="13">
        <v>450</v>
      </c>
      <c r="B22" s="461">
        <f>(('SunBasic (2)'!C22/(1+Korting!$B$3)*(1-Korting!$B$2)*Prijsmutaties!$C$9))</f>
        <v>2201.3752964355808</v>
      </c>
      <c r="C22" s="458"/>
      <c r="D22" s="281"/>
      <c r="E22" s="9">
        <v>450</v>
      </c>
      <c r="F22" s="461">
        <f>(('SunBasic (2)'!H22/(1+Korting!$B$3)*(1-Korting!$B$2)*Prijsmutaties!$C$9))</f>
        <v>2349.9166041575395</v>
      </c>
      <c r="G22" s="458"/>
    </row>
    <row r="23" spans="1:9" ht="18.2" customHeight="1">
      <c r="A23" s="13">
        <v>500</v>
      </c>
      <c r="B23" s="461">
        <f>(('SunBasic (2)'!C23/(1+Korting!$B$3)*(1-Korting!$B$2)*Prijsmutaties!$C$9))</f>
        <v>2310.3055887650175</v>
      </c>
      <c r="C23" s="458"/>
      <c r="D23" s="281"/>
      <c r="E23" s="9">
        <v>500</v>
      </c>
      <c r="F23" s="461">
        <f>(('SunBasic (2)'!H23/(1+Korting!$B$3)*(1-Korting!$B$2)*Prijsmutaties!$C$9))</f>
        <v>2468.7496503351067</v>
      </c>
      <c r="G23" s="458"/>
    </row>
    <row r="24" spans="1:9" ht="18.2" customHeight="1">
      <c r="A24" s="13">
        <v>550</v>
      </c>
      <c r="B24" s="461">
        <f>(('SunBasic (2)'!C24/(1+Korting!$B$3)*(1-Korting!$B$2)*Prijsmutaties!$C$9))</f>
        <v>2409.3331272463233</v>
      </c>
      <c r="C24" s="458"/>
      <c r="D24" s="281"/>
      <c r="E24" s="9">
        <v>550</v>
      </c>
      <c r="F24" s="461">
        <f>(('SunBasic (2)'!H24/(1+Korting!$B$3)*(1-Korting!$B$2)*Prijsmutaties!$C$9))</f>
        <v>2558.8647103530948</v>
      </c>
      <c r="G24" s="458"/>
    </row>
    <row r="25" spans="1:9" ht="18.2" customHeight="1">
      <c r="A25" s="174"/>
      <c r="B25" s="174"/>
      <c r="C25" s="174"/>
      <c r="E25" s="175"/>
      <c r="F25" s="173"/>
      <c r="G25" s="176"/>
      <c r="H25" s="176"/>
    </row>
    <row r="26" spans="1:9" ht="17.100000000000001" customHeight="1">
      <c r="A26" s="755" t="s">
        <v>7</v>
      </c>
      <c r="B26" s="755"/>
      <c r="C26" s="755"/>
      <c r="D26" s="755"/>
      <c r="E26" s="755"/>
      <c r="F26" s="755"/>
    </row>
    <row r="27" spans="1:9" ht="18.2" customHeight="1">
      <c r="A27" s="605" t="s">
        <v>305</v>
      </c>
      <c r="B27" s="540"/>
      <c r="C27" s="540"/>
      <c r="D27" s="540"/>
      <c r="E27" s="541"/>
      <c r="F27" s="15">
        <f>(('SunBasic (2)'!F27/(1+Korting!$B$3)*(1-Korting!$B$2)*Prijsmutaties!$G$9))</f>
        <v>63.094528925619827</v>
      </c>
    </row>
    <row r="28" spans="1:9" ht="18.2" customHeight="1">
      <c r="A28" s="574" t="s">
        <v>485</v>
      </c>
      <c r="B28" s="543"/>
      <c r="C28" s="543"/>
      <c r="D28" s="543"/>
      <c r="E28" s="544"/>
      <c r="F28" s="10">
        <f>(('SunBasic (2)'!F28/(1+Korting!$B$3)*(1-Korting!$B$2)*Prijsmutaties!$G$9))</f>
        <v>62.193178512396692</v>
      </c>
    </row>
    <row r="29" spans="1:9" ht="18.2" customHeight="1">
      <c r="A29" s="605" t="s">
        <v>486</v>
      </c>
      <c r="B29" s="540"/>
      <c r="C29" s="540"/>
      <c r="D29" s="540"/>
      <c r="E29" s="541"/>
      <c r="F29" s="15">
        <f>(('SunBasic (2)'!F29/(1+Korting!$B$3)*(1-Korting!$B$2)*Prijsmutaties!$G$9))</f>
        <v>86.529639669421485</v>
      </c>
    </row>
    <row r="30" spans="1:9">
      <c r="A30" s="766" t="s">
        <v>396</v>
      </c>
      <c r="B30" s="766"/>
      <c r="C30" s="766"/>
      <c r="D30" s="766"/>
      <c r="E30" s="766"/>
      <c r="F30" s="766"/>
    </row>
  </sheetData>
  <sheetProtection algorithmName="SHA-512" hashValue="BnFBL9hz2I175D8RnshRNR3iYvwuO9OAf9c969X4W6nopbAbp9LZbqSNogMh5Mz5k2QpWpPlpNjIjhsx8IC0Eg==" saltValue="bGjvVF+wJYBB3fy4ZQs26w==" spinCount="100000" sheet="1" objects="1" scenarios="1"/>
  <mergeCells count="15">
    <mergeCell ref="A30:F30"/>
    <mergeCell ref="A1:I1"/>
    <mergeCell ref="A14:I14"/>
    <mergeCell ref="A28:E28"/>
    <mergeCell ref="A29:E29"/>
    <mergeCell ref="A26:F26"/>
    <mergeCell ref="A27:E27"/>
    <mergeCell ref="A15:I15"/>
    <mergeCell ref="A16:J16"/>
    <mergeCell ref="H17:I17"/>
    <mergeCell ref="A2:I2"/>
    <mergeCell ref="A3:G4"/>
    <mergeCell ref="H3:I3"/>
    <mergeCell ref="E5:G5"/>
    <mergeCell ref="A5:C5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  <headerFooter>
    <oddFooter>&amp;L&amp;D&amp;C&amp;F
Tabblad &amp;A&amp;RInkoopprijslijst excl. BTW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2213-B415-43E4-AFF2-A7A2E6713610}">
  <sheetPr codeName="Blad20">
    <tabColor theme="7" tint="-0.249977111117893"/>
  </sheetPr>
  <dimension ref="A1:L48"/>
  <sheetViews>
    <sheetView workbookViewId="0">
      <selection activeCell="N3" sqref="N3:Q17"/>
    </sheetView>
  </sheetViews>
  <sheetFormatPr defaultRowHeight="12.75"/>
  <cols>
    <col min="1" max="1" width="11.1640625" customWidth="1"/>
    <col min="2" max="2" width="7.6640625" customWidth="1"/>
    <col min="3" max="3" width="1.1640625" customWidth="1"/>
    <col min="4" max="4" width="7.83203125" hidden="1" customWidth="1"/>
    <col min="5" max="5" width="6.5" customWidth="1"/>
    <col min="6" max="6" width="4.6640625" customWidth="1"/>
    <col min="7" max="7" width="7.5" customWidth="1"/>
    <col min="8" max="9" width="10.5" customWidth="1"/>
    <col min="10" max="10" width="10" customWidth="1"/>
    <col min="11" max="11" width="16.5" customWidth="1"/>
  </cols>
  <sheetData>
    <row r="1" spans="1:12" ht="33.75" customHeight="1">
      <c r="A1" s="758" t="s">
        <v>139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</row>
    <row r="2" spans="1:12" ht="24" customHeight="1">
      <c r="A2" s="775" t="s">
        <v>140</v>
      </c>
      <c r="B2" s="775"/>
      <c r="C2" s="775"/>
      <c r="D2" s="775"/>
      <c r="E2" s="775"/>
      <c r="F2" s="775"/>
      <c r="G2" s="775"/>
      <c r="H2" s="775"/>
      <c r="I2" s="775"/>
      <c r="J2" s="775"/>
      <c r="K2" s="775"/>
    </row>
    <row r="3" spans="1:12" ht="18.2" customHeight="1">
      <c r="A3" s="776" t="s">
        <v>141</v>
      </c>
      <c r="B3" s="776"/>
      <c r="C3" s="776"/>
      <c r="D3" s="776"/>
      <c r="E3" s="776"/>
      <c r="F3" s="776"/>
      <c r="G3" s="776"/>
      <c r="H3" s="776"/>
      <c r="I3" s="216"/>
      <c r="J3" s="1"/>
      <c r="K3" s="1"/>
    </row>
    <row r="4" spans="1:12" ht="18.2" customHeight="1">
      <c r="A4" s="777" t="s">
        <v>142</v>
      </c>
      <c r="B4" s="778"/>
      <c r="C4" s="778"/>
      <c r="D4" s="779"/>
      <c r="E4" s="756" t="s">
        <v>130</v>
      </c>
      <c r="F4" s="774"/>
      <c r="G4" s="218" t="s">
        <v>131</v>
      </c>
      <c r="H4" s="215" t="s">
        <v>132</v>
      </c>
      <c r="I4" s="215"/>
      <c r="J4" s="215" t="s">
        <v>130</v>
      </c>
      <c r="K4" s="217" t="s">
        <v>131</v>
      </c>
      <c r="L4" s="246" t="s">
        <v>132</v>
      </c>
    </row>
    <row r="5" spans="1:12" ht="18.2" customHeight="1">
      <c r="A5" s="135" t="s">
        <v>143</v>
      </c>
      <c r="B5" s="771" t="s">
        <v>144</v>
      </c>
      <c r="C5" s="772"/>
      <c r="D5" s="773"/>
      <c r="E5" s="756" t="s">
        <v>133</v>
      </c>
      <c r="F5" s="774"/>
      <c r="G5" s="218" t="s">
        <v>134</v>
      </c>
      <c r="H5" s="215" t="s">
        <v>135</v>
      </c>
      <c r="I5" s="215"/>
      <c r="J5" s="215" t="s">
        <v>133</v>
      </c>
      <c r="K5" s="217" t="s">
        <v>134</v>
      </c>
      <c r="L5" s="246" t="s">
        <v>135</v>
      </c>
    </row>
    <row r="6" spans="1:12" ht="18.2" customHeight="1">
      <c r="A6" s="137">
        <v>362.86522148916117</v>
      </c>
      <c r="B6" s="265">
        <v>605.08953817153633</v>
      </c>
      <c r="C6" s="265"/>
      <c r="D6" s="265"/>
      <c r="E6" s="568">
        <v>269</v>
      </c>
      <c r="F6" s="770"/>
      <c r="G6" s="256">
        <v>2325</v>
      </c>
      <c r="H6" s="242">
        <v>2372.1253534401508</v>
      </c>
      <c r="I6" s="242"/>
      <c r="J6" s="185"/>
      <c r="K6" s="171"/>
      <c r="L6" s="247"/>
    </row>
    <row r="7" spans="1:12" ht="18.2" customHeight="1">
      <c r="A7" s="137">
        <v>393.9679547596607</v>
      </c>
      <c r="B7" s="265">
        <v>656.92742695570223</v>
      </c>
      <c r="C7" s="265"/>
      <c r="D7" s="265"/>
      <c r="E7" s="568">
        <v>300</v>
      </c>
      <c r="F7" s="770"/>
      <c r="G7" s="256">
        <v>2353</v>
      </c>
      <c r="H7" s="242">
        <v>2400.1253534401508</v>
      </c>
      <c r="I7" s="242"/>
      <c r="J7" s="194">
        <v>319</v>
      </c>
      <c r="K7" s="184">
        <v>2487</v>
      </c>
      <c r="L7" s="242">
        <v>2534.1253534401508</v>
      </c>
    </row>
    <row r="8" spans="1:12" ht="18.2" customHeight="1">
      <c r="A8" s="137">
        <v>424.12818096135726</v>
      </c>
      <c r="B8" s="265">
        <v>705.93779453345905</v>
      </c>
      <c r="C8" s="265"/>
      <c r="D8" s="265"/>
      <c r="E8" s="568">
        <v>350</v>
      </c>
      <c r="F8" s="770"/>
      <c r="G8" s="256">
        <v>2382</v>
      </c>
      <c r="H8" s="242">
        <v>2429.1253534401508</v>
      </c>
      <c r="I8" s="242"/>
      <c r="J8" s="194">
        <v>350</v>
      </c>
      <c r="K8" s="184">
        <v>2518</v>
      </c>
      <c r="L8" s="242">
        <v>2565.1253534401508</v>
      </c>
    </row>
    <row r="9" spans="1:12" ht="18.2" customHeight="1">
      <c r="A9" s="137">
        <v>456.17342130065975</v>
      </c>
      <c r="B9" s="265">
        <v>759.660697455231</v>
      </c>
      <c r="C9" s="265"/>
      <c r="D9" s="265"/>
      <c r="E9" s="568">
        <v>400</v>
      </c>
      <c r="F9" s="770"/>
      <c r="G9" s="256">
        <v>2415</v>
      </c>
      <c r="H9" s="242">
        <v>2462.1253534401508</v>
      </c>
      <c r="I9" s="242"/>
      <c r="J9" s="194">
        <v>400</v>
      </c>
      <c r="K9" s="184">
        <v>2558</v>
      </c>
      <c r="L9" s="242">
        <v>2605.1253534401508</v>
      </c>
    </row>
    <row r="10" spans="1:12" ht="18.2" customHeight="1">
      <c r="A10" s="137">
        <v>490.10367577756836</v>
      </c>
      <c r="B10" s="265">
        <v>816.21112158341191</v>
      </c>
      <c r="C10" s="265"/>
      <c r="D10" s="265"/>
      <c r="E10" s="568">
        <v>450</v>
      </c>
      <c r="F10" s="770"/>
      <c r="G10" s="256">
        <v>2489</v>
      </c>
      <c r="H10" s="242">
        <v>2536.1253534401508</v>
      </c>
      <c r="I10" s="242"/>
      <c r="J10" s="194">
        <v>450</v>
      </c>
      <c r="K10" s="184">
        <v>2647</v>
      </c>
      <c r="L10" s="242">
        <v>2694.1253534401508</v>
      </c>
    </row>
    <row r="11" spans="1:12" ht="18.2" customHeight="1">
      <c r="A11" s="137">
        <v>490.10367577756836</v>
      </c>
      <c r="B11" s="265">
        <v>816.21112158341191</v>
      </c>
      <c r="C11" s="265"/>
      <c r="D11" s="265"/>
      <c r="E11" s="568">
        <v>500</v>
      </c>
      <c r="F11" s="770"/>
      <c r="G11" s="256">
        <v>2606</v>
      </c>
      <c r="H11" s="242">
        <v>2653.1253534401508</v>
      </c>
      <c r="I11" s="242"/>
      <c r="J11" s="194">
        <v>500</v>
      </c>
      <c r="K11" s="184">
        <v>2790</v>
      </c>
      <c r="L11" s="242">
        <v>2837.1253534401508</v>
      </c>
    </row>
    <row r="12" spans="1:12" ht="18.2" customHeight="1">
      <c r="A12" s="137">
        <v>550.42412818096136</v>
      </c>
      <c r="B12" s="265">
        <v>917.05937794533463</v>
      </c>
      <c r="C12" s="265"/>
      <c r="D12" s="265"/>
      <c r="E12" s="568">
        <v>550</v>
      </c>
      <c r="F12" s="770"/>
      <c r="G12" s="256">
        <v>2713</v>
      </c>
      <c r="H12" s="242">
        <v>2760.1253534401508</v>
      </c>
      <c r="I12" s="242"/>
      <c r="J12" s="194">
        <v>550</v>
      </c>
      <c r="K12" s="184">
        <v>2887</v>
      </c>
      <c r="L12" s="242">
        <v>2934.1253534401508</v>
      </c>
    </row>
    <row r="13" spans="1:12" ht="18.2" customHeight="1">
      <c r="A13" s="137">
        <v>550.42412818096136</v>
      </c>
      <c r="B13" s="265">
        <v>917.05937794533463</v>
      </c>
      <c r="C13" s="265"/>
      <c r="D13" s="265"/>
      <c r="E13" s="568">
        <v>600</v>
      </c>
      <c r="F13" s="770"/>
      <c r="G13" s="256">
        <v>2801</v>
      </c>
      <c r="H13" s="242">
        <v>2848.1253534401508</v>
      </c>
      <c r="I13" s="242"/>
      <c r="J13" s="194">
        <v>600</v>
      </c>
      <c r="K13" s="184">
        <v>3018</v>
      </c>
      <c r="L13" s="242">
        <v>3065.1253534401508</v>
      </c>
    </row>
    <row r="14" spans="1:12" ht="18.2" customHeight="1"/>
    <row r="15" spans="1:12" ht="18.2" customHeight="1">
      <c r="A15" s="755" t="s">
        <v>7</v>
      </c>
      <c r="B15" s="755"/>
      <c r="C15" s="755"/>
      <c r="D15" s="755"/>
      <c r="E15" s="755"/>
      <c r="F15" s="755"/>
      <c r="G15" s="755"/>
      <c r="H15" s="755"/>
      <c r="I15" s="255"/>
    </row>
    <row r="16" spans="1:12" ht="18.2" customHeight="1">
      <c r="A16" s="539" t="s">
        <v>9</v>
      </c>
      <c r="B16" s="540"/>
      <c r="C16" s="540"/>
      <c r="D16" s="540"/>
      <c r="E16" s="540"/>
      <c r="F16" s="540"/>
      <c r="G16" s="540"/>
      <c r="H16" s="541"/>
      <c r="I16" s="187"/>
      <c r="J16" s="249">
        <v>70</v>
      </c>
      <c r="K16" s="251"/>
    </row>
    <row r="17" spans="1:11" ht="18.2" customHeight="1">
      <c r="A17" s="542" t="s">
        <v>137</v>
      </c>
      <c r="B17" s="543"/>
      <c r="C17" s="543"/>
      <c r="D17" s="543"/>
      <c r="E17" s="543"/>
      <c r="F17" s="543"/>
      <c r="G17" s="543"/>
      <c r="H17" s="544"/>
      <c r="I17" s="186"/>
      <c r="J17" s="252">
        <v>47</v>
      </c>
      <c r="K17" s="254"/>
    </row>
    <row r="18" spans="1:11" ht="18.2" customHeight="1">
      <c r="A18" s="539" t="s">
        <v>138</v>
      </c>
      <c r="B18" s="540"/>
      <c r="C18" s="540"/>
      <c r="D18" s="540"/>
      <c r="E18" s="540"/>
      <c r="F18" s="540"/>
      <c r="G18" s="540"/>
      <c r="H18" s="541"/>
      <c r="I18" s="187"/>
      <c r="J18" s="249">
        <v>75</v>
      </c>
      <c r="K18" s="251"/>
    </row>
    <row r="19" spans="1:11" ht="18.2" customHeight="1">
      <c r="A19" s="755" t="s">
        <v>145</v>
      </c>
      <c r="B19" s="755"/>
      <c r="C19" s="755"/>
      <c r="D19" s="755"/>
      <c r="E19" s="755"/>
      <c r="F19" s="755"/>
      <c r="G19" s="755"/>
    </row>
    <row r="20" spans="1:11" ht="18.2" customHeight="1">
      <c r="A20" s="539" t="s">
        <v>146</v>
      </c>
      <c r="B20" s="540"/>
      <c r="C20" s="540"/>
      <c r="D20" s="540"/>
      <c r="E20" s="540"/>
      <c r="F20" s="541"/>
      <c r="G20" s="249">
        <v>-169</v>
      </c>
      <c r="I20" s="249"/>
      <c r="J20" s="250"/>
    </row>
    <row r="21" spans="1:11" ht="18.2" customHeight="1">
      <c r="A21" s="542" t="s">
        <v>147</v>
      </c>
      <c r="B21" s="543"/>
      <c r="C21" s="543"/>
      <c r="D21" s="543"/>
      <c r="E21" s="543"/>
      <c r="F21" s="544"/>
      <c r="G21" s="252">
        <v>-150</v>
      </c>
      <c r="I21" s="252"/>
      <c r="J21" s="253"/>
    </row>
    <row r="22" spans="1:11" ht="18.2" customHeight="1">
      <c r="K22" s="257"/>
    </row>
    <row r="23" spans="1:11" ht="18.2" customHeight="1"/>
    <row r="24" spans="1:11" ht="17.100000000000001" customHeight="1"/>
    <row r="25" spans="1:11" ht="18.2" customHeight="1"/>
    <row r="26" spans="1:11" ht="18.2" customHeight="1"/>
    <row r="27" spans="1:11" ht="18.2" customHeight="1"/>
    <row r="28" spans="1:11" ht="17.100000000000001" customHeight="1"/>
    <row r="29" spans="1:11" ht="18.2" customHeight="1"/>
    <row r="30" spans="1:11" ht="18.2" customHeight="1"/>
    <row r="31" spans="1:11" ht="18.2" customHeight="1"/>
    <row r="32" spans="1:11" ht="18.2" customHeight="1"/>
    <row r="33" ht="18.2" customHeight="1"/>
    <row r="34" ht="18.2" customHeight="1"/>
    <row r="35" ht="18.2" customHeight="1"/>
    <row r="36" ht="18.2" customHeight="1"/>
    <row r="37" ht="18.2" customHeight="1"/>
    <row r="38" ht="18.2" customHeight="1"/>
    <row r="39" ht="18.2" customHeight="1"/>
    <row r="40" ht="18.2" customHeight="1"/>
    <row r="41" ht="18.2" customHeight="1"/>
    <row r="42" ht="18.2" customHeight="1"/>
    <row r="43" ht="18.2" customHeight="1"/>
    <row r="44" ht="18.2" customHeight="1"/>
    <row r="45" ht="18.2" customHeight="1"/>
    <row r="46" ht="18.2" customHeight="1"/>
    <row r="47" ht="18.2" customHeight="1"/>
    <row r="48" ht="18.2" customHeight="1"/>
  </sheetData>
  <mergeCells count="22">
    <mergeCell ref="A1:K1"/>
    <mergeCell ref="A2:K2"/>
    <mergeCell ref="A3:H3"/>
    <mergeCell ref="A4:D4"/>
    <mergeCell ref="E4:F4"/>
    <mergeCell ref="E7:F7"/>
    <mergeCell ref="E6:F6"/>
    <mergeCell ref="B5:D5"/>
    <mergeCell ref="E5:F5"/>
    <mergeCell ref="E10:F10"/>
    <mergeCell ref="E9:F9"/>
    <mergeCell ref="E8:F8"/>
    <mergeCell ref="E13:F13"/>
    <mergeCell ref="E12:F12"/>
    <mergeCell ref="E11:F11"/>
    <mergeCell ref="A19:G19"/>
    <mergeCell ref="A20:F20"/>
    <mergeCell ref="A21:F21"/>
    <mergeCell ref="A15:H15"/>
    <mergeCell ref="A16:H16"/>
    <mergeCell ref="A17:H17"/>
    <mergeCell ref="A18:H1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Blad21">
    <tabColor theme="7" tint="-0.249977111117893"/>
    <pageSetUpPr fitToPage="1"/>
  </sheetPr>
  <dimension ref="A1:L48"/>
  <sheetViews>
    <sheetView workbookViewId="0">
      <selection sqref="A1:K1"/>
    </sheetView>
  </sheetViews>
  <sheetFormatPr defaultRowHeight="12.75"/>
  <cols>
    <col min="1" max="1" width="11.1640625" customWidth="1"/>
    <col min="2" max="2" width="2" customWidth="1"/>
    <col min="3" max="3" width="7.83203125" customWidth="1"/>
    <col min="4" max="4" width="6.5" customWidth="1"/>
    <col min="5" max="5" width="4.6640625" customWidth="1"/>
    <col min="6" max="6" width="14.83203125" customWidth="1"/>
    <col min="7" max="7" width="11.6640625" customWidth="1"/>
    <col min="8" max="8" width="5" customWidth="1"/>
    <col min="9" max="9" width="10" customWidth="1"/>
    <col min="10" max="10" width="16.5" customWidth="1"/>
    <col min="11" max="11" width="14.6640625" customWidth="1"/>
  </cols>
  <sheetData>
    <row r="1" spans="1:12" ht="33.75" customHeight="1">
      <c r="A1" s="768" t="s">
        <v>139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</row>
    <row r="2" spans="1:12" ht="24" customHeight="1">
      <c r="A2" s="415"/>
      <c r="B2" s="415"/>
      <c r="C2" s="415"/>
      <c r="D2" s="785" t="s">
        <v>363</v>
      </c>
      <c r="E2" s="785"/>
      <c r="F2" s="785"/>
      <c r="G2" s="785"/>
      <c r="H2" s="415"/>
      <c r="I2" s="785" t="s">
        <v>364</v>
      </c>
      <c r="J2" s="785"/>
      <c r="K2" s="785"/>
    </row>
    <row r="3" spans="1:12" ht="27" customHeight="1">
      <c r="B3" s="312"/>
      <c r="C3" s="312"/>
      <c r="D3" s="783" t="s">
        <v>366</v>
      </c>
      <c r="E3" s="784"/>
      <c r="F3" s="784"/>
      <c r="G3" s="784"/>
      <c r="H3" s="216"/>
      <c r="I3" s="783" t="s">
        <v>365</v>
      </c>
      <c r="J3" s="783"/>
      <c r="K3" s="783"/>
      <c r="L3" s="450"/>
    </row>
    <row r="4" spans="1:12" ht="18.2" customHeight="1">
      <c r="A4" s="777" t="s">
        <v>142</v>
      </c>
      <c r="B4" s="778"/>
      <c r="C4" s="779"/>
      <c r="D4" s="756" t="s">
        <v>130</v>
      </c>
      <c r="E4" s="774"/>
      <c r="F4" s="218" t="s">
        <v>131</v>
      </c>
      <c r="G4" s="215" t="s">
        <v>132</v>
      </c>
      <c r="H4" s="218"/>
      <c r="I4" s="215" t="s">
        <v>130</v>
      </c>
      <c r="J4" s="217" t="s">
        <v>131</v>
      </c>
      <c r="K4" s="246" t="s">
        <v>132</v>
      </c>
    </row>
    <row r="5" spans="1:12" ht="18.2" customHeight="1">
      <c r="A5" s="135" t="s">
        <v>143</v>
      </c>
      <c r="B5" s="771" t="s">
        <v>144</v>
      </c>
      <c r="C5" s="773"/>
      <c r="D5" s="756" t="s">
        <v>133</v>
      </c>
      <c r="E5" s="774"/>
      <c r="F5" s="218" t="s">
        <v>134</v>
      </c>
      <c r="G5" s="215" t="s">
        <v>135</v>
      </c>
      <c r="H5" s="218"/>
      <c r="I5" s="215" t="s">
        <v>133</v>
      </c>
      <c r="J5" s="217" t="s">
        <v>134</v>
      </c>
      <c r="K5" s="246" t="s">
        <v>135</v>
      </c>
    </row>
    <row r="6" spans="1:12" ht="18.2" customHeight="1">
      <c r="A6" s="138">
        <f>(('SunCar (2)'!A6/(1+Korting!$B$3)*(1-Korting!$B$2)*Prijsmutaties!$B$9))</f>
        <v>352.44094934999993</v>
      </c>
      <c r="B6" s="780">
        <f>(('SunCar (2)'!B6/(1+Korting!$B$3)*(1-Korting!$B$2)*Prijsmutaties!$B$9))</f>
        <v>587.70672592909079</v>
      </c>
      <c r="C6" s="781">
        <f>(('SunCar (2)'!C6/(1+Korting!$B$3)*(1-Korting!$B$2)))</f>
        <v>0</v>
      </c>
      <c r="D6" s="568">
        <v>269</v>
      </c>
      <c r="E6" s="770"/>
      <c r="F6" s="190">
        <f>(('SunCar (2)'!G6/(1+Korting!$B$3)*(1-Korting!$B$2)*Prijsmutaties!$B$9))</f>
        <v>2258.2081685202947</v>
      </c>
      <c r="G6" s="189">
        <f>(('SunCar (2)'!H6/(1+Korting!$B$3)*(1-Korting!$B$2)*Prijsmutaties!$B$9))</f>
        <v>2303.9797203839312</v>
      </c>
      <c r="H6" s="256"/>
      <c r="I6" s="185"/>
      <c r="J6" s="171"/>
      <c r="K6" s="258"/>
    </row>
    <row r="7" spans="1:12" ht="18.2" customHeight="1">
      <c r="A7" s="138">
        <f>(('SunCar (2)'!A7/(1+Korting!$B$3)*(1-Korting!$B$2)*Prijsmutaties!$B$9))</f>
        <v>382.65017357999989</v>
      </c>
      <c r="B7" s="780">
        <f>(('SunCar (2)'!B7/(1+Korting!$B$3)*(1-Korting!$B$2)*Prijsmutaties!$B$9))</f>
        <v>638.05543297909082</v>
      </c>
      <c r="C7" s="781">
        <f>(('SunCar (2)'!C7/(1+Korting!$B$3)*(1-Korting!$B$2)))</f>
        <v>0</v>
      </c>
      <c r="D7" s="568">
        <v>300</v>
      </c>
      <c r="E7" s="770"/>
      <c r="F7" s="190">
        <f>(('SunCar (2)'!G7/(1+Korting!$B$3)*(1-Korting!$B$2)*Prijsmutaties!$B$9))</f>
        <v>2285.4037937755929</v>
      </c>
      <c r="G7" s="189">
        <f>(('SunCar (2)'!H7/(1+Korting!$B$3)*(1-Korting!$B$2)*Prijsmutaties!$B$9))</f>
        <v>2331.1753456392294</v>
      </c>
      <c r="H7" s="256"/>
      <c r="I7" s="194">
        <v>319</v>
      </c>
      <c r="J7" s="190">
        <f>(('SunCar (2)'!K7/(1+Korting!$B$3)*(1-Korting!$B$2)*Prijsmutaties!$B$9))</f>
        <v>2415.5542860688061</v>
      </c>
      <c r="K7" s="306">
        <f>(('SunCar (2)'!L7/(1+Korting!$B$3)*(1-Korting!$B$2)*Prijsmutaties!$B$9))</f>
        <v>2461.325837932442</v>
      </c>
    </row>
    <row r="8" spans="1:12" ht="18.2" customHeight="1">
      <c r="A8" s="138">
        <f>(('SunCar (2)'!A8/(1+Korting!$B$3)*(1-Korting!$B$2)*Prijsmutaties!$B$9))</f>
        <v>411.94396677272721</v>
      </c>
      <c r="B8" s="780">
        <f>(('SunCar (2)'!B8/(1+Korting!$B$3)*(1-Korting!$B$2)*Prijsmutaties!$B$9))</f>
        <v>685.65784691727265</v>
      </c>
      <c r="C8" s="781">
        <f>(('SunCar (2)'!C8/(1+Korting!$B$3)*(1-Korting!$B$2)))</f>
        <v>0</v>
      </c>
      <c r="D8" s="568">
        <v>350</v>
      </c>
      <c r="E8" s="770"/>
      <c r="F8" s="190">
        <f>(('SunCar (2)'!G8/(1+Korting!$B$3)*(1-Korting!$B$2)*Prijsmutaties!$B$9))</f>
        <v>2313.5706913614376</v>
      </c>
      <c r="G8" s="189">
        <f>(('SunCar (2)'!H8/(1+Korting!$B$3)*(1-Korting!$B$2)*Prijsmutaties!$B$9))</f>
        <v>2359.3422432250741</v>
      </c>
      <c r="H8" s="256"/>
      <c r="I8" s="194">
        <v>350</v>
      </c>
      <c r="J8" s="190">
        <f>(('SunCar (2)'!K8/(1+Korting!$B$3)*(1-Korting!$B$2)*Prijsmutaties!$B$9))</f>
        <v>2445.6637283157429</v>
      </c>
      <c r="K8" s="306">
        <f>(('SunCar (2)'!L8/(1+Korting!$B$3)*(1-Korting!$B$2)*Prijsmutaties!$B$9))</f>
        <v>2491.4352801793793</v>
      </c>
    </row>
    <row r="9" spans="1:12" ht="18.2" customHeight="1">
      <c r="A9" s="138">
        <f>(('SunCar (2)'!A9/(1+Korting!$B$3)*(1-Korting!$B$2)*Prijsmutaties!$B$9))</f>
        <v>443.06862203999987</v>
      </c>
      <c r="B9" s="780">
        <f>(('SunCar (2)'!B9/(1+Korting!$B$3)*(1-Korting!$B$2)*Prijsmutaties!$B$9))</f>
        <v>737.83741604181796</v>
      </c>
      <c r="C9" s="781">
        <f>(('SunCar (2)'!C9/(1+Korting!$B$3)*(1-Korting!$B$2)))</f>
        <v>0</v>
      </c>
      <c r="D9" s="568">
        <v>400</v>
      </c>
      <c r="E9" s="770"/>
      <c r="F9" s="190">
        <f>(('SunCar (2)'!G9/(1+Korting!$B$3)*(1-Korting!$B$2)*Prijsmutaties!$B$9))</f>
        <v>2345.6226782694675</v>
      </c>
      <c r="G9" s="189">
        <f>(('SunCar (2)'!H9/(1+Korting!$B$3)*(1-Korting!$B$2)*Prijsmutaties!$B$9))</f>
        <v>2391.394230133104</v>
      </c>
      <c r="H9" s="256"/>
      <c r="I9" s="194">
        <v>400</v>
      </c>
      <c r="J9" s="190">
        <f>(('SunCar (2)'!K9/(1+Korting!$B$3)*(1-Korting!$B$2)*Prijsmutaties!$B$9))</f>
        <v>2484.5146215375976</v>
      </c>
      <c r="K9" s="306">
        <f>(('SunCar (2)'!L9/(1+Korting!$B$3)*(1-Korting!$B$2)*Prijsmutaties!$B$9))</f>
        <v>2530.286173401234</v>
      </c>
    </row>
    <row r="10" spans="1:12" ht="18.2" customHeight="1">
      <c r="A10" s="138">
        <f>(('SunCar (2)'!A10/(1+Korting!$B$3)*(1-Korting!$B$2)*Prijsmutaties!$B$9))</f>
        <v>476.02413938181809</v>
      </c>
      <c r="B10" s="780">
        <f>(('SunCar (2)'!B10/(1+Korting!$B$3)*(1-Korting!$B$2)*Prijsmutaties!$B$9))</f>
        <v>792.7632782781817</v>
      </c>
      <c r="C10" s="781">
        <f>(('SunCar (2)'!C10/(1+Korting!$B$3)*(1-Korting!$B$2)))</f>
        <v>0</v>
      </c>
      <c r="D10" s="568">
        <v>450</v>
      </c>
      <c r="E10" s="770"/>
      <c r="F10" s="190">
        <f>(('SunCar (2)'!G10/(1+Korting!$B$3)*(1-Korting!$B$2)*Prijsmutaties!$B$9))</f>
        <v>2417.4968307298982</v>
      </c>
      <c r="G10" s="189">
        <f>(('SunCar (2)'!H10/(1+Korting!$B$3)*(1-Korting!$B$2)*Prijsmutaties!$B$9))</f>
        <v>2463.2683825935346</v>
      </c>
      <c r="H10" s="256"/>
      <c r="I10" s="194">
        <v>450</v>
      </c>
      <c r="J10" s="190">
        <f>(('SunCar (2)'!K10/(1+Korting!$B$3)*(1-Korting!$B$2)*Prijsmutaties!$B$9))</f>
        <v>2570.9578589562238</v>
      </c>
      <c r="K10" s="306">
        <f>(('SunCar (2)'!L10/(1+Korting!$B$3)*(1-Korting!$B$2)*Prijsmutaties!$B$9))</f>
        <v>2616.7294108198603</v>
      </c>
    </row>
    <row r="11" spans="1:12" ht="18.2" customHeight="1">
      <c r="A11" s="138">
        <f>(('SunCar (2)'!A11/(1+Korting!$B$3)*(1-Korting!$B$2)*Prijsmutaties!$B$9))</f>
        <v>476.02413938181809</v>
      </c>
      <c r="B11" s="780">
        <f>(('SunCar (2)'!B11/(1+Korting!$B$3)*(1-Korting!$B$2)*Prijsmutaties!$B$9))</f>
        <v>792.7632782781817</v>
      </c>
      <c r="C11" s="781">
        <f>(('SunCar (2)'!C11/(1+Korting!$B$3)*(1-Korting!$B$2)))</f>
        <v>0</v>
      </c>
      <c r="D11" s="568">
        <v>500</v>
      </c>
      <c r="E11" s="770"/>
      <c r="F11" s="190">
        <f>(('SunCar (2)'!G11/(1+Korting!$B$3)*(1-Korting!$B$2)*Prijsmutaties!$B$9))</f>
        <v>2531.1356934038231</v>
      </c>
      <c r="G11" s="189">
        <f>(('SunCar (2)'!H11/(1+Korting!$B$3)*(1-Korting!$B$2)*Prijsmutaties!$B$9))</f>
        <v>2576.9072452674595</v>
      </c>
      <c r="H11" s="256"/>
      <c r="I11" s="194">
        <v>500</v>
      </c>
      <c r="J11" s="190">
        <f>(('SunCar (2)'!K11/(1+Korting!$B$3)*(1-Korting!$B$2)*Prijsmutaties!$B$9))</f>
        <v>2709.8498022243539</v>
      </c>
      <c r="K11" s="306">
        <f>(('SunCar (2)'!L11/(1+Korting!$B$3)*(1-Korting!$B$2)*Prijsmutaties!$B$9))</f>
        <v>2755.6213540879903</v>
      </c>
    </row>
    <row r="12" spans="1:12" ht="18.2" customHeight="1">
      <c r="A12" s="138">
        <f>(('SunCar (2)'!A12/(1+Korting!$B$3)*(1-Korting!$B$2)*Prijsmutaties!$B$9))</f>
        <v>534.61172576727256</v>
      </c>
      <c r="B12" s="780">
        <f>(('SunCar (2)'!B12/(1+Korting!$B$3)*(1-Korting!$B$2)*Prijsmutaties!$B$9))</f>
        <v>890.71439926636344</v>
      </c>
      <c r="C12" s="781">
        <f>(('SunCar (2)'!C12/(1+Korting!$B$3)*(1-Korting!$B$2)))</f>
        <v>0</v>
      </c>
      <c r="D12" s="568">
        <v>550</v>
      </c>
      <c r="E12" s="770"/>
      <c r="F12" s="190">
        <f>(('SunCar (2)'!G12/(1+Korting!$B$3)*(1-Korting!$B$2)*Prijsmutaties!$B$9))</f>
        <v>2635.0618327722841</v>
      </c>
      <c r="G12" s="189">
        <f>(('SunCar (2)'!H12/(1+Korting!$B$3)*(1-Korting!$B$2)*Prijsmutaties!$B$9))</f>
        <v>2680.8333846359205</v>
      </c>
      <c r="H12" s="256"/>
      <c r="I12" s="194">
        <v>550</v>
      </c>
      <c r="J12" s="190">
        <f>(('SunCar (2)'!K12/(1+Korting!$B$3)*(1-Korting!$B$2)*Prijsmutaties!$B$9))</f>
        <v>2804.063218287351</v>
      </c>
      <c r="K12" s="306">
        <f>(('SunCar (2)'!L12/(1+Korting!$B$3)*(1-Korting!$B$2)*Prijsmutaties!$B$9))</f>
        <v>2849.8347701509874</v>
      </c>
    </row>
    <row r="13" spans="1:12" ht="18.2" customHeight="1">
      <c r="A13" s="138">
        <f>(('SunCar (2)'!A13/(1+Korting!$B$3)*(1-Korting!$B$2)*Prijsmutaties!$B$9))</f>
        <v>534.61172576727256</v>
      </c>
      <c r="B13" s="780">
        <f>(('SunCar (2)'!B13/(1+Korting!$B$3)*(1-Korting!$B$2)*Prijsmutaties!$B$9))</f>
        <v>890.71439926636344</v>
      </c>
      <c r="C13" s="781">
        <f>(('SunCar (2)'!C13/(1+Korting!$B$3)*(1-Korting!$B$2)))</f>
        <v>0</v>
      </c>
      <c r="D13" s="568">
        <v>600</v>
      </c>
      <c r="E13" s="770"/>
      <c r="F13" s="190">
        <f>(('SunCar (2)'!G13/(1+Korting!$B$3)*(1-Korting!$B$2)*Prijsmutaties!$B$9))</f>
        <v>2720.5337978603638</v>
      </c>
      <c r="G13" s="189">
        <f>(('SunCar (2)'!H13/(1+Korting!$B$3)*(1-Korting!$B$2)*Prijsmutaties!$B$9))</f>
        <v>2766.3053497239998</v>
      </c>
      <c r="H13" s="256"/>
      <c r="I13" s="194">
        <v>600</v>
      </c>
      <c r="J13" s="190">
        <f>(('SunCar (2)'!K13/(1+Korting!$B$3)*(1-Korting!$B$2)*Prijsmutaties!$B$9))</f>
        <v>2931.2998935889245</v>
      </c>
      <c r="K13" s="306">
        <f>(('SunCar (2)'!L13/(1+Korting!$B$3)*(1-Korting!$B$2)*Prijsmutaties!$B$9))</f>
        <v>2977.071445452561</v>
      </c>
    </row>
    <row r="14" spans="1:12" ht="18.2" customHeight="1"/>
    <row r="15" spans="1:12" ht="18.2" customHeight="1">
      <c r="A15" s="755" t="s">
        <v>7</v>
      </c>
      <c r="B15" s="755"/>
      <c r="C15" s="755"/>
      <c r="D15" s="755"/>
      <c r="E15" s="755"/>
      <c r="F15" s="755"/>
      <c r="G15" s="755"/>
      <c r="H15" s="255"/>
    </row>
    <row r="16" spans="1:12" ht="18.2" customHeight="1">
      <c r="A16" s="539" t="s">
        <v>9</v>
      </c>
      <c r="B16" s="540"/>
      <c r="C16" s="540"/>
      <c r="D16" s="540"/>
      <c r="E16" s="540"/>
      <c r="F16" s="540"/>
      <c r="G16" s="541"/>
      <c r="H16" s="187"/>
      <c r="I16" s="190">
        <f>(('SunCar (2)'!J16/(1+Korting!$B$3)*(1-Korting!$B$2)*Prijsmutaties!$B$9))</f>
        <v>67.989063138245442</v>
      </c>
    </row>
    <row r="17" spans="1:9" ht="18.2" customHeight="1">
      <c r="A17" s="542" t="s">
        <v>137</v>
      </c>
      <c r="B17" s="543"/>
      <c r="C17" s="543"/>
      <c r="D17" s="543"/>
      <c r="E17" s="543"/>
      <c r="F17" s="543"/>
      <c r="G17" s="544"/>
      <c r="H17" s="186"/>
      <c r="I17" s="189">
        <f>(('SunCar (2)'!J17/(1+Korting!$B$3)*(1-Korting!$B$2)*Prijsmutaties!$B$9))</f>
        <v>45.64979953567908</v>
      </c>
    </row>
    <row r="18" spans="1:9" ht="18.2" customHeight="1">
      <c r="A18" s="539" t="s">
        <v>138</v>
      </c>
      <c r="B18" s="540"/>
      <c r="C18" s="540"/>
      <c r="D18" s="540"/>
      <c r="E18" s="540"/>
      <c r="F18" s="540"/>
      <c r="G18" s="541"/>
      <c r="H18" s="187"/>
      <c r="I18" s="190">
        <f>(('SunCar (2)'!J18/(1+Korting!$B$3)*(1-Korting!$B$2)*Prijsmutaties!$B$9))</f>
        <v>72.845424790977262</v>
      </c>
    </row>
    <row r="19" spans="1:9" ht="18.2" customHeight="1">
      <c r="A19" s="755" t="s">
        <v>145</v>
      </c>
      <c r="B19" s="755"/>
      <c r="C19" s="755"/>
      <c r="D19" s="755"/>
      <c r="E19" s="755"/>
      <c r="F19" s="755"/>
    </row>
    <row r="20" spans="1:9" ht="18.2" customHeight="1">
      <c r="A20" s="605" t="s">
        <v>321</v>
      </c>
      <c r="B20" s="540"/>
      <c r="C20" s="540"/>
      <c r="D20" s="540"/>
      <c r="E20" s="541"/>
      <c r="F20" s="190">
        <f>(('SunCar (2)'!G20/(1+Korting!$B$3)*(1-Korting!$B$2)*Prijsmutaties!$B$9))</f>
        <v>-164.14502386233539</v>
      </c>
    </row>
    <row r="21" spans="1:9" ht="18.2" customHeight="1">
      <c r="A21" s="574" t="s">
        <v>322</v>
      </c>
      <c r="B21" s="543"/>
      <c r="C21" s="543"/>
      <c r="D21" s="543"/>
      <c r="E21" s="544"/>
      <c r="F21" s="190">
        <f>(('SunCar (2)'!G21/(1+Korting!$B$3)*(1-Korting!$B$2)*Prijsmutaties!$B$9))</f>
        <v>-145.69084958195452</v>
      </c>
    </row>
    <row r="22" spans="1:9" ht="18.2" customHeight="1">
      <c r="A22" s="782" t="s">
        <v>362</v>
      </c>
      <c r="B22" s="689"/>
      <c r="C22" s="689"/>
      <c r="D22" s="689"/>
      <c r="E22" s="689"/>
      <c r="F22" s="689"/>
      <c r="G22" s="689"/>
      <c r="H22" s="689"/>
      <c r="I22" s="689"/>
    </row>
    <row r="23" spans="1:9" ht="18.2" customHeight="1"/>
    <row r="24" spans="1:9" ht="17.100000000000001" customHeight="1"/>
    <row r="25" spans="1:9" ht="18.2" customHeight="1"/>
    <row r="26" spans="1:9" ht="18.2" customHeight="1"/>
    <row r="27" spans="1:9" ht="18.2" customHeight="1"/>
    <row r="28" spans="1:9" ht="17.100000000000001" customHeight="1"/>
    <row r="29" spans="1:9" ht="18.2" customHeight="1"/>
    <row r="30" spans="1:9" ht="18.2" customHeight="1"/>
    <row r="31" spans="1:9" ht="18.2" customHeight="1"/>
    <row r="32" spans="1:9" ht="18.2" customHeight="1"/>
    <row r="33" ht="18.2" customHeight="1"/>
    <row r="34" ht="18.2" customHeight="1"/>
    <row r="35" ht="18.2" customHeight="1"/>
    <row r="36" ht="18.2" customHeight="1"/>
    <row r="37" ht="18.2" customHeight="1"/>
    <row r="38" ht="18.2" customHeight="1"/>
    <row r="39" ht="18.2" customHeight="1"/>
    <row r="40" ht="18.2" customHeight="1"/>
    <row r="41" ht="18.2" customHeight="1"/>
    <row r="42" ht="18.2" customHeight="1"/>
    <row r="43" ht="18.2" customHeight="1"/>
    <row r="44" ht="18.2" customHeight="1"/>
    <row r="45" ht="18.2" customHeight="1"/>
    <row r="46" ht="18.2" customHeight="1"/>
    <row r="47" ht="18.2" customHeight="1"/>
    <row r="48" ht="18.2" customHeight="1"/>
  </sheetData>
  <sheetProtection algorithmName="SHA-512" hashValue="QH6Dj4au4Q1r0y8RnnQfiA88cBpyIiIYVXvap5jYQjHS1BNDRTPVP3mUllrBANdlQXMzpnuJtPUHeK9bYVIXUA==" saltValue="jhRQW5LH9M7pvQw4pwAg8w==" spinCount="100000" sheet="1" objects="1" scenarios="1"/>
  <mergeCells count="33">
    <mergeCell ref="A22:I22"/>
    <mergeCell ref="D3:G3"/>
    <mergeCell ref="I2:K2"/>
    <mergeCell ref="D2:G2"/>
    <mergeCell ref="I3:K3"/>
    <mergeCell ref="A15:G15"/>
    <mergeCell ref="A16:G16"/>
    <mergeCell ref="A17:G17"/>
    <mergeCell ref="A21:E21"/>
    <mergeCell ref="A18:G18"/>
    <mergeCell ref="A19:F19"/>
    <mergeCell ref="A20:E20"/>
    <mergeCell ref="B11:C11"/>
    <mergeCell ref="D11:E11"/>
    <mergeCell ref="B12:C12"/>
    <mergeCell ref="D12:E12"/>
    <mergeCell ref="B6:C6"/>
    <mergeCell ref="D6:E6"/>
    <mergeCell ref="B7:C7"/>
    <mergeCell ref="D7:E7"/>
    <mergeCell ref="B13:C13"/>
    <mergeCell ref="D13:E13"/>
    <mergeCell ref="B8:C8"/>
    <mergeCell ref="D8:E8"/>
    <mergeCell ref="B9:C9"/>
    <mergeCell ref="D9:E9"/>
    <mergeCell ref="B10:C10"/>
    <mergeCell ref="D10:E10"/>
    <mergeCell ref="A4:C4"/>
    <mergeCell ref="D4:E4"/>
    <mergeCell ref="A1:K1"/>
    <mergeCell ref="B5:C5"/>
    <mergeCell ref="D5:E5"/>
  </mergeCells>
  <pageMargins left="0.70866141732283472" right="0.70866141732283472" top="0.74803149606299213" bottom="0.74803149606299213" header="0.31496062992125984" footer="0.31496062992125984"/>
  <pageSetup paperSize="9" scale="87" orientation="portrait" r:id="rId1"/>
  <headerFooter>
    <oddFooter>&amp;L&amp;D&amp;C&amp;F
Tabblad &amp;A&amp;RInkoopprijslijst excl. BTW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6660-2055-414D-8F64-F75CA966F89A}">
  <sheetPr codeName="Blad22">
    <tabColor theme="7" tint="-0.249977111117893"/>
  </sheetPr>
  <dimension ref="A1:L25"/>
  <sheetViews>
    <sheetView workbookViewId="0">
      <selection activeCell="E6" sqref="E6:E13"/>
    </sheetView>
  </sheetViews>
  <sheetFormatPr defaultRowHeight="12.75"/>
  <cols>
    <col min="1" max="1" width="8.83203125" customWidth="1"/>
    <col min="2" max="4" width="9.33203125" customWidth="1"/>
    <col min="5" max="5" width="12.6640625" customWidth="1"/>
    <col min="6" max="6" width="10" customWidth="1"/>
    <col min="7" max="7" width="21.6640625" customWidth="1"/>
    <col min="8" max="8" width="9.33203125" customWidth="1"/>
  </cols>
  <sheetData>
    <row r="1" spans="1:12" ht="33.75" customHeight="1">
      <c r="A1" s="758" t="s">
        <v>148</v>
      </c>
      <c r="B1" s="758"/>
      <c r="C1" s="758"/>
      <c r="D1" s="758"/>
      <c r="E1" s="758"/>
      <c r="F1" s="758"/>
      <c r="G1" s="758"/>
      <c r="H1" s="758"/>
    </row>
    <row r="2" spans="1:12" ht="24" customHeight="1">
      <c r="A2" s="786" t="s">
        <v>264</v>
      </c>
      <c r="B2" s="787"/>
      <c r="C2" s="787"/>
      <c r="D2" s="787"/>
      <c r="E2" s="787"/>
      <c r="F2" s="787"/>
      <c r="G2" s="787"/>
    </row>
    <row r="3" spans="1:12" ht="33" customHeight="1">
      <c r="A3" s="788" t="s">
        <v>266</v>
      </c>
      <c r="B3" s="789"/>
      <c r="C3" s="789"/>
      <c r="D3" s="789"/>
      <c r="E3" s="789"/>
      <c r="F3" s="789"/>
      <c r="G3" s="788" t="s">
        <v>265</v>
      </c>
      <c r="H3" s="789"/>
    </row>
    <row r="4" spans="1:12" ht="18.2" customHeight="1">
      <c r="A4" s="790" t="s">
        <v>142</v>
      </c>
      <c r="B4" s="791"/>
      <c r="C4" s="105" t="s">
        <v>130</v>
      </c>
      <c r="D4" s="268" t="s">
        <v>131</v>
      </c>
      <c r="E4" s="246" t="s">
        <v>132</v>
      </c>
      <c r="G4" s="105" t="s">
        <v>130</v>
      </c>
      <c r="H4" s="268" t="s">
        <v>131</v>
      </c>
      <c r="I4" s="105" t="s">
        <v>132</v>
      </c>
    </row>
    <row r="5" spans="1:12" ht="18.2" customHeight="1">
      <c r="A5" s="136" t="s">
        <v>143</v>
      </c>
      <c r="B5" s="266" t="s">
        <v>144</v>
      </c>
      <c r="C5" s="105" t="s">
        <v>133</v>
      </c>
      <c r="D5" s="268" t="s">
        <v>134</v>
      </c>
      <c r="E5" s="246" t="s">
        <v>135</v>
      </c>
      <c r="G5" s="105" t="s">
        <v>133</v>
      </c>
      <c r="H5" s="268" t="s">
        <v>134</v>
      </c>
      <c r="I5" s="105" t="s">
        <v>135</v>
      </c>
    </row>
    <row r="6" spans="1:12" ht="18.2" customHeight="1">
      <c r="A6" s="138">
        <f>B6*0.7</f>
        <v>215.95</v>
      </c>
      <c r="B6" s="265">
        <v>308.5</v>
      </c>
      <c r="C6" s="13">
        <v>269</v>
      </c>
      <c r="D6" s="256">
        <v>2087</v>
      </c>
      <c r="E6" s="242">
        <v>2131.38</v>
      </c>
      <c r="G6" s="111"/>
      <c r="H6" s="269"/>
      <c r="I6" s="111"/>
    </row>
    <row r="7" spans="1:12" ht="18.2" customHeight="1">
      <c r="A7" s="138">
        <f t="shared" ref="A7:A13" si="0">B7*0.7</f>
        <v>215.95</v>
      </c>
      <c r="B7" s="265">
        <v>308.5</v>
      </c>
      <c r="C7" s="13">
        <v>300</v>
      </c>
      <c r="D7" s="256">
        <v>2121</v>
      </c>
      <c r="E7" s="242">
        <v>2165.38</v>
      </c>
      <c r="G7" s="13">
        <v>319</v>
      </c>
      <c r="H7" s="256">
        <v>2330</v>
      </c>
      <c r="I7" s="10">
        <v>2374.38</v>
      </c>
      <c r="L7">
        <f>50-(50/1.061/1.03/1.04)</f>
        <v>6.0069516055351002</v>
      </c>
    </row>
    <row r="8" spans="1:12" ht="18.2" customHeight="1">
      <c r="A8" s="138">
        <f t="shared" si="0"/>
        <v>241.47031102733268</v>
      </c>
      <c r="B8" s="265">
        <v>344.95758718190388</v>
      </c>
      <c r="C8" s="13">
        <v>350</v>
      </c>
      <c r="D8" s="256">
        <v>2292</v>
      </c>
      <c r="E8" s="242">
        <v>2336.38</v>
      </c>
      <c r="G8" s="13">
        <v>350</v>
      </c>
      <c r="H8" s="256">
        <v>2430</v>
      </c>
      <c r="I8" s="10">
        <v>2474.38</v>
      </c>
    </row>
    <row r="9" spans="1:12" ht="18.2" customHeight="1">
      <c r="A9" s="138">
        <f t="shared" si="0"/>
        <v>241.47031102733268</v>
      </c>
      <c r="B9" s="265">
        <v>344.95758718190388</v>
      </c>
      <c r="C9" s="13">
        <v>400</v>
      </c>
      <c r="D9" s="256">
        <v>2402</v>
      </c>
      <c r="E9" s="242">
        <v>2446.38</v>
      </c>
      <c r="G9" s="13">
        <v>400</v>
      </c>
      <c r="H9" s="256">
        <v>2527</v>
      </c>
      <c r="I9" s="10">
        <v>2571.38</v>
      </c>
    </row>
    <row r="10" spans="1:12" ht="18.2" customHeight="1">
      <c r="A10" s="138">
        <f t="shared" si="0"/>
        <v>263.9019792648445</v>
      </c>
      <c r="B10" s="265">
        <v>377.00282752120643</v>
      </c>
      <c r="C10" s="13">
        <v>450</v>
      </c>
      <c r="D10" s="256">
        <v>2517</v>
      </c>
      <c r="E10" s="242">
        <v>2561.38</v>
      </c>
      <c r="G10" s="13">
        <v>450</v>
      </c>
      <c r="H10" s="256">
        <v>2656</v>
      </c>
      <c r="I10" s="10">
        <v>2700.38</v>
      </c>
    </row>
    <row r="11" spans="1:12" ht="18.2" customHeight="1">
      <c r="A11" s="138">
        <f t="shared" si="0"/>
        <v>263.9019792648445</v>
      </c>
      <c r="B11" s="265">
        <v>377.00282752120643</v>
      </c>
      <c r="C11" s="13">
        <v>500</v>
      </c>
      <c r="D11" s="256">
        <v>2681</v>
      </c>
      <c r="E11" s="242">
        <v>2725.38</v>
      </c>
      <c r="G11" s="13">
        <v>500</v>
      </c>
      <c r="H11" s="256">
        <v>2857</v>
      </c>
      <c r="I11" s="10">
        <v>2901.38</v>
      </c>
    </row>
    <row r="12" spans="1:12" ht="18.2" customHeight="1">
      <c r="A12" s="138">
        <f t="shared" si="0"/>
        <v>290.2921771913289</v>
      </c>
      <c r="B12" s="265">
        <v>414.70311027332707</v>
      </c>
      <c r="C12" s="13">
        <v>550</v>
      </c>
      <c r="D12" s="256">
        <v>2794</v>
      </c>
      <c r="E12" s="242">
        <v>2838.38</v>
      </c>
      <c r="G12" s="13">
        <v>550</v>
      </c>
      <c r="H12" s="256">
        <v>2992</v>
      </c>
      <c r="I12" s="10">
        <v>3036.38</v>
      </c>
    </row>
    <row r="13" spans="1:12" ht="18.2" customHeight="1">
      <c r="A13" s="138">
        <f t="shared" si="0"/>
        <v>290.2921771913289</v>
      </c>
      <c r="B13" s="265">
        <v>414.70311027332707</v>
      </c>
      <c r="C13" s="13">
        <v>600</v>
      </c>
      <c r="D13" s="256">
        <v>2921</v>
      </c>
      <c r="E13" s="242">
        <v>2965.38</v>
      </c>
      <c r="L13">
        <v>-2</v>
      </c>
    </row>
    <row r="14" spans="1:12" ht="18.2" customHeight="1">
      <c r="A14" s="175"/>
      <c r="B14" s="173"/>
      <c r="C14" s="173"/>
    </row>
    <row r="15" spans="1:12" ht="17.100000000000001" customHeight="1">
      <c r="A15" s="755" t="s">
        <v>7</v>
      </c>
      <c r="B15" s="755"/>
      <c r="C15" s="755"/>
      <c r="D15" s="755"/>
      <c r="E15" s="755"/>
      <c r="F15" s="755"/>
    </row>
    <row r="16" spans="1:12" ht="18.2" customHeight="1">
      <c r="A16" s="539" t="s">
        <v>9</v>
      </c>
      <c r="B16" s="540"/>
      <c r="C16" s="540"/>
      <c r="D16" s="540"/>
      <c r="E16" s="540"/>
      <c r="F16" s="36">
        <v>70</v>
      </c>
    </row>
    <row r="17" spans="1:6" ht="18.2" customHeight="1">
      <c r="A17" s="626" t="s">
        <v>485</v>
      </c>
      <c r="B17" s="627"/>
      <c r="C17" s="627"/>
      <c r="D17" s="627"/>
      <c r="E17" s="628"/>
      <c r="F17" s="38">
        <v>69</v>
      </c>
    </row>
    <row r="18" spans="1:6" ht="18.2" customHeight="1">
      <c r="A18" s="605" t="s">
        <v>486</v>
      </c>
      <c r="B18" s="619"/>
      <c r="C18" s="619"/>
      <c r="D18" s="619"/>
      <c r="E18" s="620"/>
      <c r="F18" s="36">
        <v>96</v>
      </c>
    </row>
    <row r="19" spans="1:6" ht="18.2" customHeight="1">
      <c r="A19" s="574" t="s">
        <v>323</v>
      </c>
      <c r="B19" s="543"/>
      <c r="C19" s="543"/>
      <c r="D19" s="543"/>
      <c r="E19" s="543"/>
      <c r="F19" s="139">
        <v>0</v>
      </c>
    </row>
    <row r="20" spans="1:6" ht="18.2" customHeight="1">
      <c r="A20" s="539" t="s">
        <v>149</v>
      </c>
      <c r="B20" s="540"/>
      <c r="C20" s="540"/>
      <c r="D20" s="540"/>
      <c r="E20" s="540"/>
      <c r="F20" s="36">
        <v>70</v>
      </c>
    </row>
    <row r="21" spans="1:6" ht="17.100000000000001" customHeight="1">
      <c r="A21" s="755" t="s">
        <v>150</v>
      </c>
      <c r="B21" s="755"/>
      <c r="C21" s="755"/>
      <c r="D21" s="755"/>
      <c r="E21" s="755"/>
    </row>
    <row r="22" spans="1:6" ht="18.2" customHeight="1">
      <c r="A22" s="539" t="s">
        <v>151</v>
      </c>
      <c r="B22" s="540"/>
      <c r="C22" s="540"/>
      <c r="D22" s="541"/>
      <c r="E22" s="315">
        <v>-165</v>
      </c>
    </row>
    <row r="23" spans="1:6" ht="18.2" customHeight="1">
      <c r="A23" s="542" t="s">
        <v>152</v>
      </c>
      <c r="B23" s="543"/>
      <c r="C23" s="543"/>
      <c r="D23" s="544"/>
      <c r="E23" s="316">
        <v>-147</v>
      </c>
    </row>
    <row r="24" spans="1:6" ht="18.2" customHeight="1">
      <c r="A24" s="539" t="s">
        <v>127</v>
      </c>
      <c r="B24" s="540"/>
      <c r="C24" s="540"/>
      <c r="D24" s="541"/>
      <c r="E24" s="315">
        <v>-275</v>
      </c>
    </row>
    <row r="25" spans="1:6" ht="16.5">
      <c r="A25" s="574" t="s">
        <v>386</v>
      </c>
      <c r="B25" s="543"/>
      <c r="C25" s="543"/>
      <c r="D25" s="544"/>
      <c r="E25">
        <v>-47</v>
      </c>
    </row>
  </sheetData>
  <mergeCells count="16">
    <mergeCell ref="A25:D25"/>
    <mergeCell ref="A21:E21"/>
    <mergeCell ref="A22:D22"/>
    <mergeCell ref="A23:D23"/>
    <mergeCell ref="A24:D24"/>
    <mergeCell ref="A20:E20"/>
    <mergeCell ref="A1:H1"/>
    <mergeCell ref="A2:G2"/>
    <mergeCell ref="A3:F3"/>
    <mergeCell ref="G3:H3"/>
    <mergeCell ref="A4:B4"/>
    <mergeCell ref="A15:F15"/>
    <mergeCell ref="A16:E16"/>
    <mergeCell ref="A17:E17"/>
    <mergeCell ref="A18:E18"/>
    <mergeCell ref="A19:E1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Blad23">
    <tabColor theme="7" tint="-0.249977111117893"/>
    <pageSetUpPr fitToPage="1"/>
  </sheetPr>
  <dimension ref="A1:I26"/>
  <sheetViews>
    <sheetView workbookViewId="0">
      <selection sqref="A1:H1"/>
    </sheetView>
  </sheetViews>
  <sheetFormatPr defaultRowHeight="12.75"/>
  <cols>
    <col min="1" max="1" width="8.83203125" customWidth="1"/>
    <col min="2" max="2" width="7.5" customWidth="1"/>
    <col min="3" max="3" width="9.33203125" customWidth="1"/>
    <col min="4" max="4" width="10" customWidth="1"/>
    <col min="5" max="5" width="8.33203125" customWidth="1"/>
    <col min="6" max="6" width="10" customWidth="1"/>
    <col min="7" max="7" width="21.6640625" customWidth="1"/>
    <col min="8" max="8" width="9.33203125" customWidth="1"/>
    <col min="9" max="9" width="11.33203125" customWidth="1"/>
  </cols>
  <sheetData>
    <row r="1" spans="1:9" ht="33.75" customHeight="1">
      <c r="A1" s="758" t="s">
        <v>148</v>
      </c>
      <c r="B1" s="758"/>
      <c r="C1" s="758"/>
      <c r="D1" s="758"/>
      <c r="E1" s="758"/>
      <c r="F1" s="758"/>
      <c r="G1" s="758"/>
      <c r="H1" s="758"/>
    </row>
    <row r="2" spans="1:9" ht="24" customHeight="1">
      <c r="A2" s="415"/>
      <c r="B2" s="415"/>
      <c r="C2" s="785" t="s">
        <v>363</v>
      </c>
      <c r="D2" s="785"/>
      <c r="E2" s="785"/>
      <c r="F2" s="414"/>
      <c r="G2" s="785" t="s">
        <v>364</v>
      </c>
      <c r="H2" s="785"/>
      <c r="I2" s="785"/>
    </row>
    <row r="3" spans="1:9" ht="33" customHeight="1">
      <c r="B3" s="311"/>
      <c r="C3" s="783" t="s">
        <v>429</v>
      </c>
      <c r="D3" s="783"/>
      <c r="E3" s="769"/>
      <c r="F3" s="311"/>
      <c r="G3" s="783" t="s">
        <v>365</v>
      </c>
      <c r="H3" s="783"/>
      <c r="I3" s="769"/>
    </row>
    <row r="4" spans="1:9" ht="18.2" customHeight="1">
      <c r="A4" s="790" t="s">
        <v>142</v>
      </c>
      <c r="B4" s="791"/>
      <c r="C4" s="105" t="s">
        <v>130</v>
      </c>
      <c r="D4" s="228" t="s">
        <v>382</v>
      </c>
      <c r="E4" s="463"/>
      <c r="G4" s="105" t="s">
        <v>130</v>
      </c>
      <c r="H4" s="218" t="s">
        <v>382</v>
      </c>
      <c r="I4" s="467"/>
    </row>
    <row r="5" spans="1:9" ht="18.2" customHeight="1">
      <c r="A5" s="136" t="s">
        <v>143</v>
      </c>
      <c r="B5" s="230" t="s">
        <v>144</v>
      </c>
      <c r="C5" s="105" t="s">
        <v>133</v>
      </c>
      <c r="D5" s="231" t="s">
        <v>383</v>
      </c>
      <c r="E5" s="463"/>
      <c r="G5" s="105" t="s">
        <v>133</v>
      </c>
      <c r="H5" s="218" t="s">
        <v>383</v>
      </c>
      <c r="I5" s="467"/>
    </row>
    <row r="6" spans="1:9" ht="18.2" customHeight="1">
      <c r="A6" s="138">
        <f>(('Suneye (2)'!A6/(1+Korting!$B$3)*(1-Korting!$B$2)*Prijsmutaties!$C$9))/1.02/1.055+1</f>
        <v>199.72685563644623</v>
      </c>
      <c r="B6" s="138">
        <f>(('Suneye (2)'!B6/(1+Korting!$B$3)*(1-Korting!$B$2)*Prijsmutaties!$C$9))/1.02/1.055</f>
        <v>283.89550805206608</v>
      </c>
      <c r="C6" s="13">
        <v>269</v>
      </c>
      <c r="D6" s="270">
        <f>(('Suneye (2)'!E6/(1+Korting!$B$3)*(1-Korting!$B$2)*Prijsmutaties!$C$9))</f>
        <v>2110.6531496828552</v>
      </c>
      <c r="E6" s="466"/>
      <c r="G6" s="111"/>
      <c r="H6" s="172"/>
      <c r="I6" s="468"/>
    </row>
    <row r="7" spans="1:9" ht="18.2" customHeight="1">
      <c r="A7" s="138">
        <f>(('Suneye (2)'!A7/(1+Korting!$B$3)*(1-Korting!$B$2)*Prijsmutaties!$C$9))/1.02/1.055+1</f>
        <v>199.72685563644623</v>
      </c>
      <c r="B7" s="138">
        <f>(('Suneye (2)'!B7/(1+Korting!$B$3)*(1-Korting!$B$2)*Prijsmutaties!$C$9))/1.02/1.055</f>
        <v>283.89550805206608</v>
      </c>
      <c r="C7" s="13">
        <v>300</v>
      </c>
      <c r="D7" s="270">
        <f>(('Suneye (2)'!E7/(1+Korting!$B$3)*(1-Korting!$B$2)*Prijsmutaties!$C$9))</f>
        <v>2144.3225127664991</v>
      </c>
      <c r="E7" s="466"/>
      <c r="G7" s="13">
        <v>319</v>
      </c>
      <c r="H7" s="190">
        <f>(('Suneye (2)'!I7/(1+Korting!$B$3)*(1-Korting!$B$2)*Prijsmutaties!$C$9))</f>
        <v>2351.2900681924284</v>
      </c>
      <c r="I7" s="469"/>
    </row>
    <row r="8" spans="1:9" ht="18.2" customHeight="1">
      <c r="A8" s="138">
        <f>(('Suneye (2)'!A8/(1+Korting!$B$3)*(1-Korting!$B$2)*Prijsmutaties!$C$9))/1.02/1.055</f>
        <v>222.21178809917353</v>
      </c>
      <c r="B8" s="138">
        <f>(('Suneye (2)'!B8/(1+Korting!$B$3)*(1-Korting!$B$2)*Prijsmutaties!$C$9))/1.02/1.055</f>
        <v>317.44541157024798</v>
      </c>
      <c r="C8" s="13">
        <v>350</v>
      </c>
      <c r="D8" s="270">
        <f>(('Suneye (2)'!E8/(1+Korting!$B$3)*(1-Korting!$B$2)*Prijsmutaties!$C$9))</f>
        <v>2313.659603569532</v>
      </c>
      <c r="E8" s="466"/>
      <c r="G8" s="13">
        <v>350</v>
      </c>
      <c r="H8" s="190">
        <f>(('Suneye (2)'!I8/(1+Korting!$B$3)*(1-Korting!$B$2)*Prijsmutaties!$C$9))</f>
        <v>2450.3176066737342</v>
      </c>
      <c r="I8" s="469"/>
    </row>
    <row r="9" spans="1:9" ht="18.2" customHeight="1">
      <c r="A9" s="138">
        <f>(('Suneye (2)'!A9/(1+Korting!$B$3)*(1-Korting!$B$2)*Prijsmutaties!$C$9))/1.02/1.055</f>
        <v>222.21178809917353</v>
      </c>
      <c r="B9" s="138">
        <f>(('Suneye (2)'!B9/(1+Korting!$B$3)*(1-Korting!$B$2)*Prijsmutaties!$C$9))/1.02/1.055</f>
        <v>317.44541157024798</v>
      </c>
      <c r="C9" s="13">
        <v>400</v>
      </c>
      <c r="D9" s="270">
        <f>(('Suneye (2)'!E9/(1+Korting!$B$3)*(1-Korting!$B$2)*Prijsmutaties!$C$9))</f>
        <v>2422.5898958989683</v>
      </c>
      <c r="E9" s="466"/>
      <c r="G9" s="13">
        <v>400</v>
      </c>
      <c r="H9" s="190">
        <f>(('Suneye (2)'!I9/(1+Korting!$B$3)*(1-Korting!$B$2)*Prijsmutaties!$C$9))</f>
        <v>2546.3743190006007</v>
      </c>
      <c r="I9" s="469"/>
    </row>
    <row r="10" spans="1:9" ht="18.2" customHeight="1">
      <c r="A10" s="138">
        <f>(('Suneye (2)'!A10/(1+Korting!$B$3)*(1-Korting!$B$2)*Prijsmutaties!$C$9))/1.02/1.055</f>
        <v>242.85441322314051</v>
      </c>
      <c r="B10" s="138">
        <f>(('Suneye (2)'!B10/(1+Korting!$B$3)*(1-Korting!$B$2)*Prijsmutaties!$C$9))/1.02/1.055-1</f>
        <v>345.93487603305783</v>
      </c>
      <c r="C10" s="13">
        <v>450</v>
      </c>
      <c r="D10" s="270">
        <f>(('Suneye (2)'!E10/(1+Korting!$B$3)*(1-Korting!$B$2)*Prijsmutaties!$C$9))</f>
        <v>2536.4715651524698</v>
      </c>
      <c r="E10" s="466"/>
      <c r="G10" s="13">
        <v>450</v>
      </c>
      <c r="H10" s="190">
        <f>(('Suneye (2)'!I10/(1+Korting!$B$3)*(1-Korting!$B$2)*Prijsmutaties!$C$9))</f>
        <v>2674.1198436414847</v>
      </c>
      <c r="I10" s="469"/>
    </row>
    <row r="11" spans="1:9" ht="18.2" customHeight="1">
      <c r="A11" s="138">
        <f>(('Suneye (2)'!A11/(1+Korting!$B$3)*(1-Korting!$B$2)*Prijsmutaties!$C$9))/1.02/1.055</f>
        <v>242.85441322314051</v>
      </c>
      <c r="B11" s="138">
        <f>(('Suneye (2)'!B11/(1+Korting!$B$3)*(1-Korting!$B$2)*Prijsmutaties!$C$9))/1.02/1.055-1</f>
        <v>345.93487603305783</v>
      </c>
      <c r="C11" s="13">
        <v>500</v>
      </c>
      <c r="D11" s="270">
        <f>(('Suneye (2)'!E11/(1+Korting!$B$3)*(1-Korting!$B$2)*Prijsmutaties!$C$9))</f>
        <v>2698.876728261811</v>
      </c>
      <c r="E11" s="466"/>
      <c r="G11" s="13">
        <v>500</v>
      </c>
      <c r="H11" s="190">
        <f>(('Suneye (2)'!I11/(1+Korting!$B$3)*(1-Korting!$B$2)*Prijsmutaties!$C$9))</f>
        <v>2873.1651959889095</v>
      </c>
      <c r="I11" s="469"/>
    </row>
    <row r="12" spans="1:9" ht="18.2" customHeight="1">
      <c r="A12" s="138">
        <f>(('Suneye (2)'!A12/(1+Korting!$B$3)*(1-Korting!$B$2)*Prijsmutaties!$C$9))/1.02/1.055</f>
        <v>267.13985454545451</v>
      </c>
      <c r="B12" s="138">
        <f>(('Suneye (2)'!B12/(1+Korting!$B$3)*(1-Korting!$B$2)*Prijsmutaties!$C$9))/1.02/1.055</f>
        <v>381.62836363636359</v>
      </c>
      <c r="C12" s="13">
        <v>550</v>
      </c>
      <c r="D12" s="270">
        <f>(('Suneye (2)'!E12/(1+Korting!$B$3)*(1-Korting!$B$2)*Prijsmutaties!$C$9))</f>
        <v>2810.7778467456869</v>
      </c>
      <c r="E12" s="466"/>
      <c r="G12" s="13">
        <v>550</v>
      </c>
      <c r="H12" s="190">
        <f>(('Suneye (2)'!I12/(1+Korting!$B$3)*(1-Korting!$B$2)*Prijsmutaties!$C$9))</f>
        <v>3006.852372938672</v>
      </c>
      <c r="I12" s="469"/>
    </row>
    <row r="13" spans="1:9" ht="18.2" customHeight="1">
      <c r="A13" s="138">
        <f>(('Suneye (2)'!A13/(1+Korting!$B$3)*(1-Korting!$B$2)*Prijsmutaties!$C$9))/1.02/1.055</f>
        <v>267.13985454545451</v>
      </c>
      <c r="B13" s="138">
        <f>(('Suneye (2)'!B13/(1+Korting!$B$3)*(1-Korting!$B$2)*Prijsmutaties!$C$9))/1.02/1.055</f>
        <v>381.62836363636359</v>
      </c>
      <c r="C13" s="13">
        <v>600</v>
      </c>
      <c r="D13" s="270">
        <f>(('Suneye (2)'!E13/(1+Korting!$B$3)*(1-Korting!$B$2)*Prijsmutaties!$C$9))</f>
        <v>2936.5428206169454</v>
      </c>
      <c r="E13" s="466"/>
    </row>
    <row r="14" spans="1:9" ht="18.2" customHeight="1">
      <c r="A14" s="175"/>
      <c r="B14" s="173"/>
      <c r="C14" s="173"/>
    </row>
    <row r="15" spans="1:9" ht="17.100000000000001" customHeight="1">
      <c r="A15" s="755" t="s">
        <v>7</v>
      </c>
      <c r="B15" s="755"/>
      <c r="C15" s="755"/>
      <c r="D15" s="755"/>
      <c r="E15" s="755"/>
      <c r="F15" s="755"/>
    </row>
    <row r="16" spans="1:9" ht="18.2" customHeight="1">
      <c r="A16" s="539" t="s">
        <v>9</v>
      </c>
      <c r="B16" s="540"/>
      <c r="C16" s="540"/>
      <c r="D16" s="540"/>
      <c r="E16" s="540"/>
      <c r="F16" s="15">
        <f>(('Suneye (2)'!F16/(1+Korting!$B$3)*(1-Korting!$B$2)*Prijsmutaties!$G$9))</f>
        <v>63.094528925619827</v>
      </c>
    </row>
    <row r="17" spans="1:9" ht="18.2" customHeight="1">
      <c r="A17" s="626" t="s">
        <v>485</v>
      </c>
      <c r="B17" s="627"/>
      <c r="C17" s="627"/>
      <c r="D17" s="627"/>
      <c r="E17" s="628"/>
      <c r="F17" s="10">
        <f>(('Suneye (2)'!F17/(1+Korting!$B$3)*(1-Korting!$B$2)*Prijsmutaties!$G$9))</f>
        <v>62.193178512396692</v>
      </c>
    </row>
    <row r="18" spans="1:9" ht="18.2" customHeight="1">
      <c r="A18" s="605" t="s">
        <v>486</v>
      </c>
      <c r="B18" s="619"/>
      <c r="C18" s="619"/>
      <c r="D18" s="619"/>
      <c r="E18" s="620"/>
      <c r="F18" s="15">
        <f>(('Suneye (2)'!F18/(1+Korting!$B$3)*(1-Korting!$B$2)*Prijsmutaties!$G$9))</f>
        <v>86.529639669421485</v>
      </c>
    </row>
    <row r="19" spans="1:9" ht="18.2" customHeight="1">
      <c r="A19" s="574" t="s">
        <v>324</v>
      </c>
      <c r="B19" s="543"/>
      <c r="C19" s="543"/>
      <c r="D19" s="543"/>
      <c r="E19" s="543"/>
      <c r="F19" s="10">
        <f>(('Suneye (2)'!F19/(1+Korting!$B$3)*(1-Korting!$B$2)*Prijsmutaties!$G$9))</f>
        <v>0</v>
      </c>
    </row>
    <row r="20" spans="1:9" ht="18.2" customHeight="1">
      <c r="A20" s="539" t="s">
        <v>149</v>
      </c>
      <c r="B20" s="540"/>
      <c r="C20" s="540"/>
      <c r="D20" s="540"/>
      <c r="E20" s="540"/>
      <c r="F20" s="15">
        <f>(('Suneye (2)'!F20/(1+Korting!$B$3)*(1-Korting!$B$2)*Prijsmutaties!$G$9))</f>
        <v>63.094528925619827</v>
      </c>
    </row>
    <row r="21" spans="1:9" ht="17.100000000000001" customHeight="1">
      <c r="A21" s="755" t="s">
        <v>150</v>
      </c>
      <c r="B21" s="755"/>
      <c r="C21" s="755"/>
      <c r="D21" s="755"/>
      <c r="E21" s="755"/>
    </row>
    <row r="22" spans="1:9" ht="18.2" customHeight="1">
      <c r="A22" s="605" t="s">
        <v>321</v>
      </c>
      <c r="B22" s="540"/>
      <c r="C22" s="540"/>
      <c r="D22" s="541"/>
      <c r="E22" s="315">
        <f>(('Suneye (2)'!E22/(1+Korting!$B$3)*(1-Korting!$B$2)*Prijsmutaties!$G$9))</f>
        <v>-148.72281818181818</v>
      </c>
    </row>
    <row r="23" spans="1:9" ht="18.2" customHeight="1">
      <c r="A23" s="574" t="s">
        <v>322</v>
      </c>
      <c r="B23" s="543"/>
      <c r="C23" s="543"/>
      <c r="D23" s="544"/>
      <c r="E23" s="316">
        <f>(('Suneye (2)'!E23/(1+Korting!$B$3)*(1-Korting!$B$2)*Prijsmutaties!$G$9))</f>
        <v>-132.49851074380163</v>
      </c>
    </row>
    <row r="24" spans="1:9" ht="18.2" customHeight="1">
      <c r="A24" s="605" t="s">
        <v>320</v>
      </c>
      <c r="B24" s="540"/>
      <c r="C24" s="540"/>
      <c r="D24" s="541"/>
      <c r="E24" s="315">
        <f>(('Suneye (2)'!E24/(1+Korting!$B$3)*(1-Korting!$B$2)*Prijsmutaties!$G$9))</f>
        <v>-247.87136363636361</v>
      </c>
    </row>
    <row r="25" spans="1:9" ht="13.5" customHeight="1">
      <c r="A25" s="574" t="s">
        <v>386</v>
      </c>
      <c r="B25" s="543"/>
      <c r="C25" s="543"/>
      <c r="D25" s="544"/>
      <c r="E25" s="316">
        <f>(('Suneye (2)'!E25/(1+Korting!$B$3)*(1-Korting!$B$2)*Prijsmutaties!$G$9))</f>
        <v>-42.363469421487601</v>
      </c>
      <c r="F25" s="310"/>
      <c r="G25" s="310"/>
      <c r="H25" s="310"/>
      <c r="I25" s="310"/>
    </row>
    <row r="26" spans="1:9" ht="13.5">
      <c r="A26" s="792" t="s">
        <v>362</v>
      </c>
      <c r="B26" s="792"/>
      <c r="C26" s="792"/>
      <c r="D26" s="792"/>
      <c r="E26" s="792"/>
    </row>
  </sheetData>
  <sheetProtection algorithmName="SHA-512" hashValue="/E9oJ5YSnjc2Jr7MVyEfjR/jJUf03udCQWVBvvDE/9bK9rdbbuiBQNFWpQCp4g0iNHMw/ctFX+GnFRx05Cu9+g==" saltValue="qOB//8SvZp6l/9Cu5oVgKw==" spinCount="100000" sheet="1" objects="1" scenarios="1"/>
  <mergeCells count="18">
    <mergeCell ref="A21:E21"/>
    <mergeCell ref="A25:D25"/>
    <mergeCell ref="A26:E26"/>
    <mergeCell ref="A15:F15"/>
    <mergeCell ref="A16:E16"/>
    <mergeCell ref="A22:D22"/>
    <mergeCell ref="A23:D23"/>
    <mergeCell ref="A24:D24"/>
    <mergeCell ref="A17:E17"/>
    <mergeCell ref="A18:E18"/>
    <mergeCell ref="A19:E19"/>
    <mergeCell ref="A20:E20"/>
    <mergeCell ref="A1:H1"/>
    <mergeCell ref="A4:B4"/>
    <mergeCell ref="C2:E2"/>
    <mergeCell ref="G2:I2"/>
    <mergeCell ref="C3:E3"/>
    <mergeCell ref="G3:I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&amp;L&amp;D&amp;C&amp;F
Tabblad &amp;A&amp;RInkoopprijslijst excl. BTW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0817-E30E-4194-B183-FBBD072148A4}">
  <sheetPr codeName="Blad24">
    <tabColor theme="7" tint="-0.249977111117893"/>
  </sheetPr>
  <dimension ref="A1:Q23"/>
  <sheetViews>
    <sheetView workbookViewId="0">
      <selection activeCell="F24" sqref="F24"/>
    </sheetView>
  </sheetViews>
  <sheetFormatPr defaultRowHeight="12.75"/>
  <cols>
    <col min="1" max="1" width="2" customWidth="1"/>
    <col min="2" max="2" width="10.83203125" customWidth="1"/>
    <col min="3" max="3" width="11.1640625" customWidth="1"/>
    <col min="4" max="4" width="8.1640625" customWidth="1"/>
    <col min="5" max="5" width="5.83203125" bestFit="1" customWidth="1"/>
    <col min="6" max="6" width="6.6640625" bestFit="1" customWidth="1"/>
    <col min="7" max="7" width="6.6640625" customWidth="1"/>
    <col min="8" max="8" width="7.83203125" bestFit="1" customWidth="1"/>
    <col min="9" max="9" width="5.83203125" bestFit="1" customWidth="1"/>
    <col min="10" max="10" width="6.6640625" bestFit="1" customWidth="1"/>
    <col min="11" max="11" width="6.6640625" customWidth="1"/>
    <col min="12" max="12" width="7.83203125" bestFit="1" customWidth="1"/>
    <col min="13" max="13" width="6.83203125" customWidth="1"/>
    <col min="14" max="14" width="5.83203125" bestFit="1" customWidth="1"/>
    <col min="15" max="15" width="10.1640625" customWidth="1"/>
    <col min="16" max="16" width="11.1640625" customWidth="1"/>
  </cols>
  <sheetData>
    <row r="1" spans="1:16" ht="69.75" customHeight="1">
      <c r="A1" s="793" t="s">
        <v>154</v>
      </c>
      <c r="B1" s="793"/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N1" s="793"/>
      <c r="O1" s="793"/>
      <c r="P1" s="793"/>
    </row>
    <row r="2" spans="1:16" ht="24" customHeight="1">
      <c r="A2" s="3"/>
      <c r="B2" s="785" t="s">
        <v>269</v>
      </c>
      <c r="C2" s="775"/>
      <c r="D2" s="775"/>
      <c r="E2" s="775"/>
      <c r="F2" s="775"/>
      <c r="G2" s="775"/>
      <c r="H2" s="775"/>
      <c r="I2" s="775"/>
      <c r="J2" s="775"/>
      <c r="K2" s="775"/>
      <c r="L2" s="775"/>
      <c r="M2" s="775"/>
      <c r="N2" s="775"/>
      <c r="O2" s="775"/>
      <c r="P2" s="3"/>
    </row>
    <row r="3" spans="1:16" ht="35.1" customHeight="1">
      <c r="A3" s="794" t="s">
        <v>155</v>
      </c>
      <c r="B3" s="794"/>
      <c r="C3" s="794"/>
      <c r="D3" s="794"/>
      <c r="E3" s="794"/>
      <c r="F3" s="794"/>
      <c r="G3" s="232"/>
      <c r="H3" s="795" t="s">
        <v>156</v>
      </c>
      <c r="I3" s="795"/>
      <c r="J3" s="795"/>
      <c r="K3" s="233"/>
      <c r="L3" s="795" t="s">
        <v>157</v>
      </c>
      <c r="M3" s="795"/>
      <c r="N3" s="795"/>
      <c r="O3" s="795"/>
      <c r="P3" s="795"/>
    </row>
    <row r="4" spans="1:16" ht="18" customHeight="1">
      <c r="A4" s="3"/>
      <c r="B4" s="266" t="s">
        <v>142</v>
      </c>
      <c r="C4" s="267"/>
      <c r="D4" s="246" t="s">
        <v>130</v>
      </c>
      <c r="E4" s="268"/>
      <c r="F4" s="246" t="s">
        <v>132</v>
      </c>
      <c r="G4" s="268"/>
      <c r="H4" s="246" t="s">
        <v>130</v>
      </c>
      <c r="I4" s="268"/>
      <c r="J4" s="246" t="s">
        <v>132</v>
      </c>
      <c r="K4" s="268"/>
      <c r="L4" s="246" t="s">
        <v>130</v>
      </c>
      <c r="M4" s="275"/>
      <c r="N4" s="268"/>
      <c r="O4" s="105" t="s">
        <v>132</v>
      </c>
      <c r="P4" s="3"/>
    </row>
    <row r="5" spans="1:16" ht="18.95" customHeight="1">
      <c r="A5" s="3"/>
      <c r="B5" s="136" t="s">
        <v>143</v>
      </c>
      <c r="C5" s="136" t="s">
        <v>144</v>
      </c>
      <c r="D5" s="246" t="s">
        <v>133</v>
      </c>
      <c r="E5" s="268"/>
      <c r="F5" s="246" t="s">
        <v>135</v>
      </c>
      <c r="G5" s="268"/>
      <c r="H5" s="246" t="s">
        <v>133</v>
      </c>
      <c r="I5" s="268"/>
      <c r="J5" s="246" t="s">
        <v>135</v>
      </c>
      <c r="K5" s="268"/>
      <c r="L5" s="246" t="s">
        <v>133</v>
      </c>
      <c r="M5" s="275"/>
      <c r="N5" s="268"/>
      <c r="O5" s="105" t="s">
        <v>135</v>
      </c>
      <c r="P5" s="3"/>
    </row>
    <row r="6" spans="1:16" ht="18" customHeight="1">
      <c r="A6" s="3"/>
      <c r="B6" s="138">
        <f>C6*0.7</f>
        <v>312.72384542884072</v>
      </c>
      <c r="C6" s="138">
        <v>446.74835061262962</v>
      </c>
      <c r="D6" s="272">
        <v>300</v>
      </c>
      <c r="E6" s="256"/>
      <c r="F6" s="242">
        <v>2700.6253534401508</v>
      </c>
      <c r="G6" s="256"/>
      <c r="H6" s="248"/>
      <c r="I6" s="269"/>
      <c r="J6" s="248"/>
      <c r="K6" s="269"/>
      <c r="L6" s="248"/>
      <c r="M6" s="274"/>
      <c r="N6" s="269"/>
      <c r="O6" s="111"/>
      <c r="P6" s="3"/>
    </row>
    <row r="7" spans="1:16" ht="18" customHeight="1">
      <c r="A7" s="3"/>
      <c r="B7" s="138">
        <f t="shared" ref="B7:B15" si="0">C7*0.7</f>
        <v>340.43355325164941</v>
      </c>
      <c r="C7" s="138">
        <v>486.33364750235631</v>
      </c>
      <c r="D7" s="272">
        <v>350</v>
      </c>
      <c r="E7" s="256"/>
      <c r="F7" s="242">
        <v>2800.6253534401508</v>
      </c>
      <c r="G7" s="256"/>
      <c r="H7" s="272">
        <v>350</v>
      </c>
      <c r="I7" s="256"/>
      <c r="J7" s="242">
        <v>2947.6253534401508</v>
      </c>
      <c r="K7" s="256"/>
      <c r="L7" s="248"/>
      <c r="M7" s="274"/>
      <c r="N7" s="269"/>
      <c r="O7" s="111"/>
      <c r="P7" s="3"/>
    </row>
    <row r="8" spans="1:16" ht="18" customHeight="1">
      <c r="A8" s="3"/>
      <c r="B8" s="138">
        <f t="shared" si="0"/>
        <v>369.46277097078229</v>
      </c>
      <c r="C8" s="138">
        <v>527.803958529689</v>
      </c>
      <c r="D8" s="272">
        <v>400</v>
      </c>
      <c r="E8" s="256"/>
      <c r="F8" s="242">
        <v>3024.6253534401508</v>
      </c>
      <c r="G8" s="256"/>
      <c r="H8" s="272">
        <v>400</v>
      </c>
      <c r="I8" s="256"/>
      <c r="J8" s="242">
        <v>3186.6253534401508</v>
      </c>
      <c r="K8" s="256"/>
      <c r="L8" s="248"/>
      <c r="M8" s="274"/>
      <c r="N8" s="269"/>
      <c r="O8" s="111"/>
      <c r="P8" s="3"/>
    </row>
    <row r="9" spans="1:16" ht="18" customHeight="1">
      <c r="A9" s="3"/>
      <c r="B9" s="138">
        <f t="shared" si="0"/>
        <v>395.85296889726675</v>
      </c>
      <c r="C9" s="138">
        <v>565.50424128180964</v>
      </c>
      <c r="D9" s="272">
        <v>450</v>
      </c>
      <c r="E9" s="256"/>
      <c r="F9" s="242">
        <v>3123.6253534401508</v>
      </c>
      <c r="G9" s="256"/>
      <c r="H9" s="272">
        <v>450</v>
      </c>
      <c r="I9" s="256"/>
      <c r="J9" s="242">
        <v>3286.6253534401508</v>
      </c>
      <c r="K9" s="256"/>
      <c r="L9" s="272">
        <v>450</v>
      </c>
      <c r="M9" s="273"/>
      <c r="N9" s="256"/>
      <c r="O9" s="10">
        <v>3393.6253534401508</v>
      </c>
      <c r="P9" s="3"/>
    </row>
    <row r="10" spans="1:16" ht="18.95" customHeight="1">
      <c r="A10" s="3"/>
      <c r="B10" s="138">
        <f t="shared" si="0"/>
        <v>423.56267672007539</v>
      </c>
      <c r="C10" s="138">
        <v>605.08953817153633</v>
      </c>
      <c r="D10" s="272">
        <v>500</v>
      </c>
      <c r="E10" s="256"/>
      <c r="F10" s="242">
        <v>3353.6253534401508</v>
      </c>
      <c r="G10" s="256"/>
      <c r="H10" s="272">
        <v>500</v>
      </c>
      <c r="I10" s="256"/>
      <c r="J10" s="242">
        <v>3517.6253534401508</v>
      </c>
      <c r="K10" s="256"/>
      <c r="L10" s="272">
        <v>500</v>
      </c>
      <c r="M10" s="273"/>
      <c r="N10" s="256"/>
      <c r="O10" s="10">
        <v>3617.02535344015</v>
      </c>
      <c r="P10" s="3"/>
    </row>
    <row r="11" spans="1:16" ht="18" customHeight="1">
      <c r="A11" s="3"/>
      <c r="B11" s="138">
        <f t="shared" si="0"/>
        <v>452.59189443920832</v>
      </c>
      <c r="C11" s="138">
        <v>646.55984919886907</v>
      </c>
      <c r="D11" s="272">
        <v>550</v>
      </c>
      <c r="E11" s="256"/>
      <c r="F11" s="242">
        <v>3626.6253534401508</v>
      </c>
      <c r="G11" s="256"/>
      <c r="H11" s="272">
        <v>550</v>
      </c>
      <c r="I11" s="256"/>
      <c r="J11" s="242">
        <v>3745.6253534401508</v>
      </c>
      <c r="K11" s="256"/>
      <c r="L11" s="272">
        <v>550</v>
      </c>
      <c r="M11" s="273"/>
      <c r="N11" s="256"/>
      <c r="O11" s="10">
        <v>3867.6253534401508</v>
      </c>
      <c r="P11" s="3"/>
    </row>
    <row r="12" spans="1:16" ht="18" customHeight="1">
      <c r="A12" s="3"/>
      <c r="B12" s="138">
        <f t="shared" si="0"/>
        <v>479.6418473138549</v>
      </c>
      <c r="C12" s="138">
        <v>685.20263901979274</v>
      </c>
      <c r="D12" s="272">
        <v>600</v>
      </c>
      <c r="E12" s="256"/>
      <c r="F12" s="242">
        <v>3844.6253534401508</v>
      </c>
      <c r="G12" s="256"/>
      <c r="H12" s="272">
        <v>600</v>
      </c>
      <c r="I12" s="256"/>
      <c r="J12" s="242">
        <v>3964.6253534401508</v>
      </c>
      <c r="K12" s="256"/>
      <c r="L12" s="272">
        <v>600</v>
      </c>
      <c r="M12" s="273"/>
      <c r="N12" s="256"/>
      <c r="O12" s="10">
        <v>4058.35253534401</v>
      </c>
      <c r="P12" s="3"/>
    </row>
    <row r="13" spans="1:16" ht="18" customHeight="1">
      <c r="A13" s="3"/>
      <c r="B13" s="138">
        <f t="shared" si="0"/>
        <v>568.04901036757769</v>
      </c>
      <c r="C13" s="138">
        <v>811.49858623939679</v>
      </c>
      <c r="D13" s="272">
        <v>650</v>
      </c>
      <c r="E13" s="256"/>
      <c r="F13" s="242">
        <v>5054.6253534401512</v>
      </c>
      <c r="G13" s="256"/>
      <c r="H13" s="272">
        <v>650</v>
      </c>
      <c r="I13" s="256"/>
      <c r="J13" s="242">
        <v>4853.6253534401512</v>
      </c>
      <c r="K13" s="256"/>
      <c r="L13" s="272">
        <v>650</v>
      </c>
      <c r="M13" s="273"/>
      <c r="N13" s="256"/>
      <c r="O13" s="10">
        <v>4969.6851253534396</v>
      </c>
      <c r="P13" s="3"/>
    </row>
    <row r="14" spans="1:16" ht="18" customHeight="1">
      <c r="A14" s="3"/>
      <c r="B14" s="138">
        <f t="shared" si="0"/>
        <v>599.05749293119698</v>
      </c>
      <c r="C14" s="138">
        <v>855.7964184731386</v>
      </c>
      <c r="D14" s="272">
        <v>700</v>
      </c>
      <c r="E14" s="256"/>
      <c r="F14" s="242">
        <v>5263.6253534401512</v>
      </c>
      <c r="G14" s="256"/>
      <c r="H14" s="272">
        <v>700</v>
      </c>
      <c r="I14" s="256"/>
      <c r="J14" s="242">
        <v>4897.6253534401512</v>
      </c>
      <c r="K14" s="256"/>
      <c r="L14" s="272">
        <v>700</v>
      </c>
      <c r="M14" s="273"/>
      <c r="N14" s="256"/>
      <c r="O14" s="10">
        <v>5044.31253534401</v>
      </c>
      <c r="P14" s="3"/>
    </row>
    <row r="15" spans="1:16" ht="18.75" customHeight="1">
      <c r="A15" s="3"/>
      <c r="B15" s="138">
        <f t="shared" si="0"/>
        <v>622.14891611687085</v>
      </c>
      <c r="C15" s="138">
        <v>888.78416588124412</v>
      </c>
      <c r="D15" s="272">
        <v>745</v>
      </c>
      <c r="E15" s="256"/>
      <c r="F15" s="242">
        <v>5474.6253534401512</v>
      </c>
      <c r="G15" s="256"/>
      <c r="H15" s="272">
        <v>745</v>
      </c>
      <c r="I15" s="256"/>
      <c r="J15" s="242">
        <v>5694.6253534401512</v>
      </c>
      <c r="K15" s="256"/>
      <c r="L15" s="272">
        <v>745</v>
      </c>
      <c r="M15" s="273"/>
      <c r="N15" s="256"/>
      <c r="O15" s="10">
        <v>5293.02535344015</v>
      </c>
      <c r="P15" s="3"/>
    </row>
    <row r="16" spans="1:16" ht="14.8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7" ht="16.5" customHeight="1">
      <c r="A17" s="2"/>
      <c r="B17" s="755" t="s">
        <v>7</v>
      </c>
      <c r="C17" s="755"/>
      <c r="D17" s="755"/>
      <c r="E17" s="755"/>
      <c r="F17" s="755"/>
      <c r="G17" s="229"/>
      <c r="H17" s="755" t="s">
        <v>150</v>
      </c>
      <c r="I17" s="755"/>
      <c r="J17" s="755"/>
      <c r="K17" s="755"/>
      <c r="L17" s="755"/>
      <c r="M17" s="755"/>
      <c r="N17" s="755"/>
      <c r="O17" s="755"/>
      <c r="P17" s="2"/>
    </row>
    <row r="18" spans="1:17" ht="18.95" customHeight="1">
      <c r="A18" s="3"/>
      <c r="B18" s="539"/>
      <c r="C18" s="540"/>
      <c r="D18" s="540"/>
      <c r="E18" s="540"/>
      <c r="F18" s="249"/>
      <c r="G18" s="249"/>
      <c r="H18" s="539" t="s">
        <v>146</v>
      </c>
      <c r="I18" s="540"/>
      <c r="J18" s="540"/>
      <c r="K18" s="540"/>
      <c r="L18" s="540"/>
      <c r="M18" s="540"/>
      <c r="N18" s="540"/>
      <c r="O18" s="123">
        <v>-165</v>
      </c>
      <c r="P18" s="3"/>
    </row>
    <row r="19" spans="1:17" ht="18" customHeight="1">
      <c r="A19" s="3"/>
      <c r="B19" s="542" t="s">
        <v>386</v>
      </c>
      <c r="C19" s="543"/>
      <c r="D19" s="543"/>
      <c r="E19" s="543"/>
      <c r="F19" s="252">
        <v>-46.8</v>
      </c>
      <c r="G19" s="252"/>
      <c r="H19" s="542" t="s">
        <v>147</v>
      </c>
      <c r="I19" s="543"/>
      <c r="J19" s="543"/>
      <c r="K19" s="543"/>
      <c r="L19" s="543"/>
      <c r="M19" s="543"/>
      <c r="N19" s="543"/>
      <c r="O19" s="127">
        <v>-147</v>
      </c>
      <c r="P19" s="3"/>
      <c r="Q19">
        <v>-1.5</v>
      </c>
    </row>
    <row r="20" spans="1:17" ht="16.5" customHeight="1">
      <c r="A20" s="2"/>
      <c r="B20" s="693" t="s">
        <v>9</v>
      </c>
      <c r="C20" s="694"/>
      <c r="D20" s="694"/>
      <c r="E20" s="694"/>
      <c r="F20" s="796">
        <v>70</v>
      </c>
      <c r="G20" s="797"/>
      <c r="H20" s="2"/>
      <c r="I20" s="2"/>
      <c r="J20" s="2"/>
      <c r="K20" s="2"/>
      <c r="L20" s="2"/>
      <c r="M20" s="2"/>
      <c r="N20" s="2"/>
      <c r="O20" s="2"/>
      <c r="P20" s="2"/>
    </row>
    <row r="21" spans="1:17" ht="15" customHeight="1">
      <c r="A21" s="2"/>
      <c r="B21" s="699"/>
      <c r="C21" s="700"/>
      <c r="D21" s="700"/>
      <c r="E21" s="700"/>
      <c r="F21" s="798"/>
      <c r="G21" s="799"/>
      <c r="H21" s="689" t="s">
        <v>153</v>
      </c>
      <c r="I21" s="689"/>
      <c r="J21" s="689"/>
      <c r="K21" s="689"/>
      <c r="L21" s="689"/>
      <c r="M21" s="689"/>
      <c r="N21" s="689"/>
      <c r="O21" s="689"/>
      <c r="P21" s="689"/>
    </row>
    <row r="22" spans="1:17" ht="18" customHeight="1">
      <c r="A22" s="3"/>
      <c r="B22" s="542" t="s">
        <v>158</v>
      </c>
      <c r="C22" s="543"/>
      <c r="D22" s="543"/>
      <c r="E22" s="543"/>
      <c r="F22" s="252">
        <v>81.5</v>
      </c>
      <c r="G22" s="282"/>
      <c r="H22" s="3"/>
      <c r="I22" s="3"/>
      <c r="J22" s="3"/>
      <c r="K22" s="3"/>
      <c r="L22" s="3"/>
      <c r="M22" s="3"/>
      <c r="N22" s="3"/>
      <c r="O22" s="3"/>
      <c r="P22" s="3"/>
    </row>
    <row r="23" spans="1:17" ht="18.75" customHeight="1">
      <c r="A23" s="3"/>
      <c r="B23" s="539" t="s">
        <v>159</v>
      </c>
      <c r="C23" s="540"/>
      <c r="D23" s="540"/>
      <c r="E23" s="540"/>
      <c r="F23" s="249">
        <v>81.5</v>
      </c>
      <c r="G23" s="280"/>
      <c r="H23" s="3"/>
      <c r="I23" s="3"/>
      <c r="J23" s="3"/>
      <c r="K23" s="3"/>
      <c r="L23" s="3"/>
      <c r="M23" s="3"/>
      <c r="N23" s="3"/>
      <c r="O23" s="3"/>
      <c r="P23" s="3"/>
    </row>
  </sheetData>
  <mergeCells count="16">
    <mergeCell ref="B22:E22"/>
    <mergeCell ref="B23:E23"/>
    <mergeCell ref="B19:E19"/>
    <mergeCell ref="H19:N19"/>
    <mergeCell ref="B20:E21"/>
    <mergeCell ref="H21:P21"/>
    <mergeCell ref="F20:G21"/>
    <mergeCell ref="B17:F17"/>
    <mergeCell ref="H17:O17"/>
    <mergeCell ref="B18:E18"/>
    <mergeCell ref="H18:N18"/>
    <mergeCell ref="A1:P1"/>
    <mergeCell ref="B2:O2"/>
    <mergeCell ref="A3:F3"/>
    <mergeCell ref="H3:J3"/>
    <mergeCell ref="L3:P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Blad25">
    <tabColor theme="7" tint="-0.249977111117893"/>
    <pageSetUpPr fitToPage="1"/>
  </sheetPr>
  <dimension ref="A1:P22"/>
  <sheetViews>
    <sheetView workbookViewId="0">
      <selection activeCell="N13" sqref="N13"/>
    </sheetView>
  </sheetViews>
  <sheetFormatPr defaultRowHeight="12.75"/>
  <cols>
    <col min="1" max="1" width="2" customWidth="1"/>
    <col min="2" max="2" width="10.83203125" customWidth="1"/>
    <col min="3" max="3" width="11.1640625" customWidth="1"/>
    <col min="4" max="4" width="8.1640625" customWidth="1"/>
    <col min="5" max="5" width="7.5" customWidth="1"/>
    <col min="6" max="6" width="11" customWidth="1"/>
    <col min="7" max="7" width="6.6640625" customWidth="1"/>
    <col min="8" max="8" width="7.83203125" bestFit="1" customWidth="1"/>
    <col min="9" max="9" width="7.5" customWidth="1"/>
    <col min="10" max="10" width="8.33203125" customWidth="1"/>
    <col min="11" max="11" width="6.6640625" customWidth="1"/>
    <col min="12" max="12" width="7.83203125" bestFit="1" customWidth="1"/>
    <col min="13" max="13" width="6.83203125" customWidth="1"/>
    <col min="14" max="14" width="9.6640625" customWidth="1"/>
    <col min="15" max="15" width="10.1640625" customWidth="1"/>
    <col min="16" max="16" width="11.1640625" customWidth="1"/>
  </cols>
  <sheetData>
    <row r="1" spans="1:16" ht="30.75">
      <c r="A1" s="537" t="s">
        <v>154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473"/>
    </row>
    <row r="2" spans="1:16" ht="24" customHeight="1">
      <c r="A2" s="3"/>
      <c r="B2" s="785" t="s">
        <v>269</v>
      </c>
      <c r="C2" s="775"/>
      <c r="D2" s="775"/>
      <c r="E2" s="775"/>
      <c r="F2" s="775"/>
      <c r="G2" s="775"/>
      <c r="H2" s="775"/>
      <c r="I2" s="775"/>
      <c r="J2" s="775"/>
      <c r="K2" s="775"/>
      <c r="L2" s="775"/>
      <c r="M2" s="775"/>
      <c r="N2" s="775"/>
      <c r="O2" s="775"/>
      <c r="P2" s="3"/>
    </row>
    <row r="3" spans="1:16" ht="35.1" customHeight="1">
      <c r="A3" s="801" t="s">
        <v>388</v>
      </c>
      <c r="B3" s="794"/>
      <c r="C3" s="794"/>
      <c r="D3" s="794"/>
      <c r="E3" s="794"/>
      <c r="F3" s="794"/>
      <c r="G3" s="232"/>
      <c r="H3" s="795" t="s">
        <v>156</v>
      </c>
      <c r="I3" s="795"/>
      <c r="J3" s="795"/>
      <c r="K3" s="233"/>
      <c r="L3" s="800" t="s">
        <v>276</v>
      </c>
      <c r="M3" s="800"/>
      <c r="N3" s="800"/>
      <c r="O3" s="312"/>
      <c r="P3" s="312"/>
    </row>
    <row r="4" spans="1:16" ht="18" customHeight="1">
      <c r="A4" s="3"/>
      <c r="B4" s="266" t="s">
        <v>142</v>
      </c>
      <c r="C4" s="267"/>
      <c r="D4" s="246" t="s">
        <v>130</v>
      </c>
      <c r="E4" s="218" t="s">
        <v>382</v>
      </c>
      <c r="F4" s="470"/>
      <c r="G4" s="268"/>
      <c r="H4" s="246" t="s">
        <v>130</v>
      </c>
      <c r="I4" s="218" t="s">
        <v>382</v>
      </c>
      <c r="J4" s="470"/>
      <c r="K4" s="268"/>
      <c r="L4" s="246" t="s">
        <v>130</v>
      </c>
      <c r="M4" s="275"/>
      <c r="N4" s="218" t="s">
        <v>382</v>
      </c>
    </row>
    <row r="5" spans="1:16" ht="18.95" customHeight="1">
      <c r="A5" s="3"/>
      <c r="B5" s="136" t="s">
        <v>143</v>
      </c>
      <c r="C5" s="136" t="s">
        <v>144</v>
      </c>
      <c r="D5" s="246" t="s">
        <v>133</v>
      </c>
      <c r="E5" s="218" t="s">
        <v>383</v>
      </c>
      <c r="F5" s="470"/>
      <c r="G5" s="268"/>
      <c r="H5" s="246" t="s">
        <v>133</v>
      </c>
      <c r="I5" s="218" t="s">
        <v>383</v>
      </c>
      <c r="J5" s="470"/>
      <c r="K5" s="268"/>
      <c r="L5" s="246" t="s">
        <v>133</v>
      </c>
      <c r="M5" s="275"/>
      <c r="N5" s="218" t="s">
        <v>383</v>
      </c>
    </row>
    <row r="6" spans="1:16" ht="18" customHeight="1">
      <c r="A6" s="3"/>
      <c r="B6" s="138">
        <f>(('Suneye XL (2)'!B6/(1+Korting!$B$3)*(1-Korting!$B$2)*Prijsmutaties!$H$9))/1.02/1.055</f>
        <v>290.60387652892558</v>
      </c>
      <c r="C6" s="138">
        <f>(('Suneye XL (2)'!C6/(1+Korting!$B$3)*(1-Korting!$B$2)*Prijsmutaties!$H$9))/1.02/1.055</f>
        <v>415.14839504132232</v>
      </c>
      <c r="D6" s="194">
        <v>300</v>
      </c>
      <c r="E6" s="190">
        <f>(('Suneye XL (2)'!F6/(1+Korting!$B$3)*(1-Korting!$B$2)*Prijsmutaties!$H$9))-1-1</f>
        <v>2698.5820543600594</v>
      </c>
      <c r="F6" s="469"/>
      <c r="G6" s="256"/>
      <c r="H6" s="248"/>
      <c r="I6" s="269"/>
      <c r="J6" s="471"/>
      <c r="K6" s="269"/>
      <c r="L6" s="248"/>
      <c r="M6" s="274"/>
      <c r="N6" s="269"/>
    </row>
    <row r="7" spans="1:16" ht="18" customHeight="1">
      <c r="A7" s="3"/>
      <c r="B7" s="138">
        <f>(('Suneye XL (2)'!B7/(1+Korting!$B$3)*(1-Korting!$B$2)*Prijsmutaties!$H$9))/1.02/1.055</f>
        <v>316.35358710743799</v>
      </c>
      <c r="C7" s="138">
        <f>(('Suneye XL (2)'!C7/(1+Korting!$B$3)*(1-Korting!$B$2)*Prijsmutaties!$H$9))/1.02/1.055</f>
        <v>451.93369586776868</v>
      </c>
      <c r="D7" s="194">
        <v>350</v>
      </c>
      <c r="E7" s="190">
        <f>(('Suneye XL (2)'!F7/(1+Korting!$B$3)*(1-Korting!$B$2)*Prijsmutaties!$H$9))-1-1</f>
        <v>2798.5804510617704</v>
      </c>
      <c r="F7" s="469"/>
      <c r="G7" s="256"/>
      <c r="H7" s="194">
        <v>350</v>
      </c>
      <c r="I7" s="190">
        <f>(('Suneye XL (2)'!J7/(1+Korting!$B$3)*(1-Korting!$B$2)*Prijsmutaties!$H$9))-2</f>
        <v>2945.5780942132847</v>
      </c>
      <c r="J7" s="469"/>
      <c r="K7" s="256"/>
      <c r="L7" s="248"/>
      <c r="M7" s="274"/>
      <c r="N7" s="269"/>
    </row>
    <row r="8" spans="1:16" ht="18" customHeight="1">
      <c r="A8" s="3"/>
      <c r="B8" s="138">
        <f>(('Suneye XL (2)'!B8/(1+Korting!$B$3)*(1-Korting!$B$2)*Prijsmutaties!$H$9))/1.02/1.055</f>
        <v>343.32947438016521</v>
      </c>
      <c r="C8" s="138">
        <f>(('Suneye XL (2)'!C8/(1+Korting!$B$3)*(1-Korting!$B$2)*Prijsmutaties!$H$9))/1.02/1.055</f>
        <v>490.47067768595042</v>
      </c>
      <c r="D8" s="194">
        <v>400</v>
      </c>
      <c r="E8" s="190">
        <f>(('Suneye XL (2)'!F8/(1+Korting!$B$3)*(1-Korting!$B$2)*Prijsmutaties!$H$9))-1-1</f>
        <v>3022.5768596736025</v>
      </c>
      <c r="F8" s="469"/>
      <c r="G8" s="256"/>
      <c r="H8" s="194">
        <v>400</v>
      </c>
      <c r="I8" s="190">
        <f>(('Suneye XL (2)'!J8/(1+Korting!$B$3)*(1-Korting!$B$2)*Prijsmutaties!$H$9))-2</f>
        <v>3184.574262330374</v>
      </c>
      <c r="J8" s="469"/>
      <c r="K8" s="256"/>
      <c r="L8" s="248"/>
      <c r="M8" s="274"/>
      <c r="N8" s="269"/>
    </row>
    <row r="9" spans="1:16" ht="18" customHeight="1">
      <c r="A9" s="3"/>
      <c r="B9" s="138">
        <f>(('Suneye XL (2)'!B9/(1+Korting!$B$3)*(1-Korting!$B$2)*Prijsmutaties!$H$9))/1.02/1.055</f>
        <v>367.8530082644628</v>
      </c>
      <c r="C9" s="138">
        <f>(('Suneye XL (2)'!C9/(1+Korting!$B$3)*(1-Korting!$B$2)*Prijsmutaties!$H$9))/1.02/1.055</f>
        <v>525.50429752066111</v>
      </c>
      <c r="D9" s="194">
        <v>450</v>
      </c>
      <c r="E9" s="190">
        <f>(('Suneye XL (2)'!F9/(1+Korting!$B$3)*(1-Korting!$B$2)*Prijsmutaties!$H$9))-1-1</f>
        <v>3121.5752724082959</v>
      </c>
      <c r="F9" s="469"/>
      <c r="G9" s="256"/>
      <c r="H9" s="194">
        <v>450</v>
      </c>
      <c r="I9" s="190">
        <f>(('Suneye XL (2)'!J9/(1+Korting!$B$3)*(1-Korting!$B$2)*Prijsmutaties!$H$9))-2</f>
        <v>3284.5726590320846</v>
      </c>
      <c r="J9" s="469"/>
      <c r="K9" s="256"/>
      <c r="L9" s="194">
        <v>450</v>
      </c>
      <c r="M9" s="264"/>
      <c r="N9" s="190">
        <f>(('Suneye XL (2)'!O9/(1+Korting!$B$3)*(1-Korting!$B$2)*Prijsmutaties!$H$9))-1</f>
        <v>3392.5709435029153</v>
      </c>
    </row>
    <row r="10" spans="1:16" ht="18.95" customHeight="1">
      <c r="A10" s="3"/>
      <c r="B10" s="138">
        <f>(('Suneye XL (2)'!B10/(1+Korting!$B$3)*(1-Korting!$B$2)*Prijsmutaties!$H$9))/1.02/1.055</f>
        <v>393.60271884297515</v>
      </c>
      <c r="C10" s="138">
        <f>(('Suneye XL (2)'!C10/(1+Korting!$B$3)*(1-Korting!$B$2)*Prijsmutaties!$H$9))/1.02/1.055</f>
        <v>562.28959834710747</v>
      </c>
      <c r="D10" s="194">
        <v>500</v>
      </c>
      <c r="E10" s="190">
        <f>(('Suneye XL (2)'!F10/(1+Korting!$B$3)*(1-Korting!$B$2)*Prijsmutaties!$H$9))-1-1</f>
        <v>3351.5715848222308</v>
      </c>
      <c r="F10" s="469"/>
      <c r="G10" s="256"/>
      <c r="H10" s="194">
        <v>500</v>
      </c>
      <c r="I10" s="190">
        <f>(('Suneye XL (2)'!J10/(1+Korting!$B$3)*(1-Korting!$B$2)*Prijsmutaties!$H$9))-2</f>
        <v>3515.5689554130363</v>
      </c>
      <c r="J10" s="469"/>
      <c r="K10" s="256"/>
      <c r="L10" s="194">
        <v>500</v>
      </c>
      <c r="M10" s="264"/>
      <c r="N10" s="190">
        <f>(('Suneye XL (2)'!O10/(1+Korting!$B$3)*(1-Korting!$B$2)*Prijsmutaties!$H$9))-1</f>
        <v>3615.9673617345361</v>
      </c>
    </row>
    <row r="11" spans="1:16" ht="18" customHeight="1">
      <c r="A11" s="3"/>
      <c r="B11" s="138">
        <f>(('Suneye XL (2)'!B11/(1+Korting!$B$3)*(1-Korting!$B$2)*Prijsmutaties!$H$9))/1.02/1.055</f>
        <v>420.57860611570254</v>
      </c>
      <c r="C11" s="138">
        <f>(('Suneye XL (2)'!C11/(1+Korting!$B$3)*(1-Korting!$B$2)*Prijsmutaties!$H$9))/1.02/1.055</f>
        <v>600.82658016528933</v>
      </c>
      <c r="D11" s="194">
        <v>550</v>
      </c>
      <c r="E11" s="190">
        <f>(('Suneye XL (2)'!F11/(1+Korting!$B$3)*(1-Korting!$B$2)*Prijsmutaties!$H$9))-1-1</f>
        <v>3624.5672078179009</v>
      </c>
      <c r="F11" s="469"/>
      <c r="G11" s="256"/>
      <c r="H11" s="194">
        <v>550</v>
      </c>
      <c r="I11" s="190">
        <f>(('Suneye XL (2)'!J11/(1+Korting!$B$3)*(1-Korting!$B$2)*Prijsmutaties!$H$9))-2</f>
        <v>3743.5652998929368</v>
      </c>
      <c r="J11" s="469"/>
      <c r="K11" s="256"/>
      <c r="L11" s="194">
        <v>550</v>
      </c>
      <c r="M11" s="264"/>
      <c r="N11" s="190">
        <f>(('Suneye XL (2)'!O11/(1+Korting!$B$3)*(1-Korting!$B$2)*Prijsmutaties!$H$9))-1</f>
        <v>3866.5633438690243</v>
      </c>
    </row>
    <row r="12" spans="1:16" ht="18" customHeight="1">
      <c r="A12" s="3"/>
      <c r="B12" s="138">
        <f>(('Suneye XL (2)'!B12/(1+Korting!$B$3)*(1-Korting!$B$2)*Prijsmutaties!$H$9))/1.02/1.055</f>
        <v>445.71522834710743</v>
      </c>
      <c r="C12" s="138">
        <f>(('Suneye XL (2)'!C12/(1+Korting!$B$3)*(1-Korting!$B$2)*Prijsmutaties!$H$9))/1.02/1.055</f>
        <v>636.73604049586777</v>
      </c>
      <c r="D12" s="194">
        <v>600</v>
      </c>
      <c r="E12" s="190">
        <f>(('Suneye XL (2)'!F12/(1+Korting!$B$3)*(1-Korting!$B$2)*Prijsmutaties!$H$9))-1</f>
        <v>3843.5637126276306</v>
      </c>
      <c r="F12" s="469"/>
      <c r="G12" s="256"/>
      <c r="H12" s="194">
        <v>600</v>
      </c>
      <c r="I12" s="190">
        <f>(('Suneye XL (2)'!J12/(1+Korting!$B$3)*(1-Korting!$B$2)*Prijsmutaties!$H$9))-2</f>
        <v>3962.5617886696837</v>
      </c>
      <c r="J12" s="469"/>
      <c r="K12" s="256"/>
      <c r="L12" s="194">
        <v>600</v>
      </c>
      <c r="M12" s="264"/>
      <c r="N12" s="190">
        <f>(('Suneye XL (2)'!O12/(1+Korting!$B$3)*(1-Korting!$B$2)*Prijsmutaties!$H$9))-2</f>
        <v>4056.2874678472385</v>
      </c>
    </row>
    <row r="13" spans="1:16" ht="18" customHeight="1">
      <c r="A13" s="3"/>
      <c r="B13" s="138">
        <f>(('Suneye XL (2)'!B13/(1+Korting!$B$3)*(1-Korting!$B$2)*Prijsmutaties!$H$9))/1.02/1.055</f>
        <v>527.86906685950407</v>
      </c>
      <c r="C13" s="138">
        <f>(('Suneye XL (2)'!C13/(1+Korting!$B$3)*(1-Korting!$B$2)*Prijsmutaties!$H$9))/1.02/1.055</f>
        <v>754.09866694214872</v>
      </c>
      <c r="D13" s="194">
        <v>650</v>
      </c>
      <c r="E13" s="190">
        <f>(('Suneye XL (2)'!F13/(1+Korting!$B$3)*(1-Korting!$B$2)*Prijsmutaties!$H$9))-1</f>
        <v>5053.5443127183307</v>
      </c>
      <c r="F13" s="469"/>
      <c r="G13" s="256"/>
      <c r="H13" s="194">
        <v>650</v>
      </c>
      <c r="I13" s="190">
        <f>(('Suneye XL (2)'!J13/(1+Korting!$B$3)*(1-Korting!$B$2)*Prijsmutaties!$H$9))-2</f>
        <v>4851.5475353478923</v>
      </c>
      <c r="J13" s="469"/>
      <c r="K13" s="256"/>
      <c r="L13" s="194">
        <v>650</v>
      </c>
      <c r="M13" s="264"/>
      <c r="N13" s="190">
        <f>(('Suneye XL (2)'!O13/(1+Korting!$B$3)*(1-Korting!$B$2)*Prijsmutaties!$H$9))-1</f>
        <v>4968.6054464768431</v>
      </c>
    </row>
    <row r="14" spans="1:16" ht="18" customHeight="1">
      <c r="A14" s="3"/>
      <c r="B14" s="138">
        <f>(('Suneye XL (2)'!B14/(1+Korting!$B$3)*(1-Korting!$B$2)*Prijsmutaties!$H$9))/1.02/1.055</f>
        <v>556.68421917355363</v>
      </c>
      <c r="C14" s="138">
        <f>(('Suneye XL (2)'!C14/(1+Korting!$B$3)*(1-Korting!$B$2)*Prijsmutaties!$H$9))/1.02/1.055</f>
        <v>795.263170247934</v>
      </c>
      <c r="D14" s="194">
        <v>700</v>
      </c>
      <c r="E14" s="190">
        <f>(('Suneye XL (2)'!F14/(1+Korting!$B$3)*(1-Korting!$B$2)*Prijsmutaties!$H$9))-1</f>
        <v>5262.5409618249068</v>
      </c>
      <c r="F14" s="469"/>
      <c r="G14" s="256"/>
      <c r="H14" s="194">
        <v>700</v>
      </c>
      <c r="I14" s="190">
        <f>(('Suneye XL (2)'!J14/(1+Korting!$B$3)*(1-Korting!$B$2)*Prijsmutaties!$H$9))-1</f>
        <v>4896.5468298966443</v>
      </c>
      <c r="J14" s="469"/>
      <c r="K14" s="256"/>
      <c r="L14" s="194">
        <v>700</v>
      </c>
      <c r="M14" s="264"/>
      <c r="N14" s="190">
        <f>(('Suneye XL (2)'!O14/(1+Korting!$B$3)*(1-Korting!$B$2)*Prijsmutaties!$H$9))-1</f>
        <v>5043.231659967425</v>
      </c>
    </row>
    <row r="15" spans="1:16" ht="18.75" customHeight="1">
      <c r="A15" s="3"/>
      <c r="B15" s="138">
        <f>(('Suneye XL (2)'!B15/(1+Korting!$B$3)*(1-Korting!$B$2)*Prijsmutaties!$H$9))/1.02/1.055</f>
        <v>578.14231132231407</v>
      </c>
      <c r="C15" s="138">
        <f>(('Suneye XL (2)'!C15/(1+Korting!$B$3)*(1-Korting!$B$2)*Prijsmutaties!$H$9))/1.02/1.055</f>
        <v>825.91758760330572</v>
      </c>
      <c r="D15" s="194">
        <v>745</v>
      </c>
      <c r="E15" s="190">
        <f>(('Suneye XL (2)'!F15/(1+Korting!$B$3)*(1-Korting!$B$2)*Prijsmutaties!$H$9))-1</f>
        <v>5473.5375788655165</v>
      </c>
      <c r="F15" s="469"/>
      <c r="G15" s="256"/>
      <c r="H15" s="194">
        <v>745</v>
      </c>
      <c r="I15" s="190">
        <f>(('Suneye XL (2)'!J15/(1+Korting!$B$3)*(1-Korting!$B$2)*Prijsmutaties!$H$9))-1</f>
        <v>5693.5340516092801</v>
      </c>
      <c r="J15" s="469"/>
      <c r="K15" s="256"/>
      <c r="L15" s="194">
        <v>745</v>
      </c>
      <c r="M15" s="264"/>
      <c r="N15" s="190">
        <f>(('Suneye XL (2)'!O15/(1+Korting!$B$3)*(1-Korting!$B$2)*Prijsmutaties!$H$9))+1</f>
        <v>5293.9404904552075</v>
      </c>
    </row>
    <row r="16" spans="1:16" ht="14.8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6.5" customHeight="1">
      <c r="A17" s="2"/>
      <c r="B17" s="755" t="s">
        <v>7</v>
      </c>
      <c r="C17" s="755"/>
      <c r="D17" s="755"/>
      <c r="E17" s="755"/>
      <c r="F17" s="755"/>
      <c r="G17" s="229"/>
      <c r="H17" s="755" t="s">
        <v>150</v>
      </c>
      <c r="I17" s="755"/>
      <c r="J17" s="755"/>
      <c r="K17" s="755"/>
      <c r="L17" s="755"/>
      <c r="M17" s="755"/>
      <c r="N17" s="755"/>
      <c r="O17" s="755"/>
      <c r="P17" s="2"/>
    </row>
    <row r="18" spans="1:16" ht="16.5">
      <c r="A18" s="3"/>
      <c r="B18" s="542" t="s">
        <v>386</v>
      </c>
      <c r="C18" s="543"/>
      <c r="D18" s="543"/>
      <c r="E18" s="543"/>
      <c r="F18" s="199">
        <f>(('Suneye XL (2)'!F19/(1+Korting!$B$3)*(1-Korting!$B$2)*Prijsmutaties!$G$9))</f>
        <v>-42.183199338842968</v>
      </c>
      <c r="G18" s="281"/>
      <c r="H18" s="539" t="s">
        <v>146</v>
      </c>
      <c r="I18" s="540"/>
      <c r="J18" s="540"/>
      <c r="K18" s="540"/>
      <c r="L18" s="540"/>
      <c r="M18" s="540"/>
      <c r="N18" s="540"/>
      <c r="O18" s="260">
        <f>(('Suneye XL (2)'!O18/(1+Korting!$B$3)*(1-Korting!$B$2)*Prijsmutaties!$G$9))</f>
        <v>-148.72281818181818</v>
      </c>
      <c r="P18" s="3"/>
    </row>
    <row r="19" spans="1:16" ht="16.5">
      <c r="A19" s="2"/>
      <c r="B19" s="693" t="s">
        <v>9</v>
      </c>
      <c r="C19" s="694"/>
      <c r="D19" s="694"/>
      <c r="E19" s="695"/>
      <c r="F19" s="472">
        <f>(('Suneye XL (2)'!F20/(1+Korting!$B$3)*(1-Korting!$B$2)*Prijsmutaties!$G$9))</f>
        <v>63.094528925619827</v>
      </c>
      <c r="G19" s="281"/>
      <c r="H19" s="542" t="s">
        <v>147</v>
      </c>
      <c r="I19" s="543"/>
      <c r="J19" s="543"/>
      <c r="K19" s="543"/>
      <c r="L19" s="543"/>
      <c r="M19" s="543"/>
      <c r="N19" s="544"/>
      <c r="O19" s="305">
        <f>(('Suneye XL (2)'!O19/(1+Korting!$B$3)*(1-Korting!$B$2)*Prijsmutaties!$G$9))</f>
        <v>-132.49851074380163</v>
      </c>
      <c r="P19" s="2"/>
    </row>
    <row r="20" spans="1:16" ht="16.5">
      <c r="A20" s="2"/>
      <c r="B20" s="542" t="s">
        <v>158</v>
      </c>
      <c r="C20" s="543"/>
      <c r="D20" s="543"/>
      <c r="E20" s="544"/>
      <c r="F20" s="199">
        <f>(('Suneye XL (2)'!F22/(1+Korting!$B$3)*(1-Korting!$B$2)*Prijsmutaties!$G$9))</f>
        <v>73.46005867768595</v>
      </c>
      <c r="G20" s="281"/>
      <c r="H20" s="782" t="s">
        <v>361</v>
      </c>
      <c r="I20" s="689"/>
      <c r="J20" s="689"/>
      <c r="K20" s="689"/>
      <c r="L20" s="689"/>
      <c r="M20" s="689"/>
      <c r="N20" s="689"/>
      <c r="O20" s="689"/>
      <c r="P20" s="689"/>
    </row>
    <row r="21" spans="1:16" ht="16.5">
      <c r="A21" s="3"/>
      <c r="B21" s="539" t="s">
        <v>159</v>
      </c>
      <c r="C21" s="540"/>
      <c r="D21" s="540"/>
      <c r="E21" s="540"/>
      <c r="F21" s="200">
        <f>(('Suneye XL (2)'!F23/(1+Korting!$B$3)*(1-Korting!$B$2)*Prijsmutaties!$G$9))</f>
        <v>73.46005867768595</v>
      </c>
      <c r="G21" s="281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H22" s="3"/>
      <c r="I22" s="3"/>
      <c r="J22" s="3"/>
      <c r="K22" s="3"/>
      <c r="L22" s="3"/>
      <c r="M22" s="3"/>
      <c r="N22" s="3"/>
      <c r="O22" s="3"/>
      <c r="P22" s="3"/>
    </row>
  </sheetData>
  <sheetProtection algorithmName="SHA-512" hashValue="1Cf4fRvfH2F7915Xi5DwHh2U2ahUw1gwelMavedXNa1PBquqLqVQU7rzRqZ5oU6vfjksoUxUlrw9MBPP1Odx5w==" saltValue="mxhpl8WUflgifj8D+lbwMA==" spinCount="100000" sheet="1" objects="1" scenarios="1"/>
  <mergeCells count="14">
    <mergeCell ref="B21:E21"/>
    <mergeCell ref="H18:N18"/>
    <mergeCell ref="B18:E18"/>
    <mergeCell ref="H19:N19"/>
    <mergeCell ref="H20:P20"/>
    <mergeCell ref="B19:E19"/>
    <mergeCell ref="B20:E20"/>
    <mergeCell ref="A1:O1"/>
    <mergeCell ref="L3:N3"/>
    <mergeCell ref="B17:F17"/>
    <mergeCell ref="H17:O17"/>
    <mergeCell ref="B2:O2"/>
    <mergeCell ref="A3:F3"/>
    <mergeCell ref="H3:J3"/>
  </mergeCells>
  <pageMargins left="0.70866141732283472" right="0.70866141732283472" top="0.74803149606299213" bottom="0.74803149606299213" header="0.31496062992125984" footer="0.31496062992125984"/>
  <pageSetup paperSize="9" scale="73" orientation="portrait" r:id="rId1"/>
  <headerFooter>
    <oddFooter>&amp;L&amp;D&amp;C&amp;F
Tabblad &amp;A&amp;RInkoopprijslijst excl. BTW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2FFE-50B2-4952-A3D8-528095C03E10}">
  <sheetPr codeName="Blad45">
    <tabColor theme="7" tint="-0.249977111117893"/>
  </sheetPr>
  <dimension ref="A1:Z20"/>
  <sheetViews>
    <sheetView workbookViewId="0">
      <selection activeCell="C6" sqref="C6"/>
    </sheetView>
  </sheetViews>
  <sheetFormatPr defaultRowHeight="12.75"/>
  <cols>
    <col min="1" max="1" width="2" customWidth="1"/>
    <col min="2" max="2" width="10.83203125" customWidth="1"/>
    <col min="3" max="3" width="11.1640625" customWidth="1"/>
    <col min="4" max="4" width="8.1640625" customWidth="1"/>
    <col min="5" max="6" width="6.6640625" bestFit="1" customWidth="1"/>
    <col min="7" max="7" width="6.6640625" customWidth="1"/>
    <col min="8" max="8" width="7.83203125" bestFit="1" customWidth="1"/>
    <col min="9" max="9" width="5.83203125" bestFit="1" customWidth="1"/>
    <col min="10" max="10" width="6.6640625" bestFit="1" customWidth="1"/>
    <col min="11" max="11" width="6.6640625" customWidth="1"/>
    <col min="12" max="12" width="7.83203125" bestFit="1" customWidth="1"/>
    <col min="13" max="13" width="6.83203125" customWidth="1"/>
    <col min="14" max="14" width="11.6640625" bestFit="1" customWidth="1"/>
    <col min="15" max="15" width="10.1640625" customWidth="1"/>
    <col min="16" max="16" width="11.1640625" customWidth="1"/>
  </cols>
  <sheetData>
    <row r="1" spans="1:26" ht="30.75">
      <c r="A1" s="802" t="s">
        <v>389</v>
      </c>
      <c r="B1" s="793"/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N1" s="793"/>
      <c r="O1" s="793"/>
      <c r="P1" s="793"/>
    </row>
    <row r="2" spans="1:26" ht="24" customHeight="1">
      <c r="A2" s="3"/>
      <c r="B2" s="785" t="s">
        <v>269</v>
      </c>
      <c r="C2" s="775"/>
      <c r="D2" s="775"/>
      <c r="E2" s="775"/>
      <c r="F2" s="775"/>
      <c r="G2" s="775"/>
      <c r="H2" s="775"/>
      <c r="I2" s="775"/>
      <c r="J2" s="775"/>
      <c r="K2" s="775"/>
      <c r="L2" s="775"/>
      <c r="M2" s="775"/>
      <c r="N2" s="775"/>
      <c r="O2" s="775"/>
      <c r="P2" s="3"/>
    </row>
    <row r="3" spans="1:26" ht="35.1" customHeight="1">
      <c r="A3" s="794" t="s">
        <v>155</v>
      </c>
      <c r="B3" s="794"/>
      <c r="C3" s="794"/>
      <c r="D3" s="794"/>
      <c r="E3" s="794"/>
      <c r="F3" s="794"/>
      <c r="G3" s="232"/>
      <c r="H3" s="795" t="s">
        <v>156</v>
      </c>
      <c r="I3" s="795"/>
      <c r="J3" s="795"/>
      <c r="K3" s="233"/>
      <c r="L3" s="795" t="s">
        <v>157</v>
      </c>
      <c r="M3" s="795"/>
      <c r="N3" s="795"/>
      <c r="O3" s="795"/>
      <c r="P3" s="795"/>
    </row>
    <row r="4" spans="1:26" ht="18" customHeight="1">
      <c r="A4" s="3"/>
      <c r="B4" s="266" t="s">
        <v>142</v>
      </c>
      <c r="C4" s="267"/>
      <c r="D4" s="246" t="s">
        <v>130</v>
      </c>
      <c r="E4" s="218" t="s">
        <v>382</v>
      </c>
      <c r="F4" s="268"/>
      <c r="G4" s="268"/>
      <c r="H4" s="246" t="s">
        <v>130</v>
      </c>
      <c r="I4" s="218" t="s">
        <v>382</v>
      </c>
      <c r="J4" s="268"/>
      <c r="K4" s="268"/>
      <c r="L4" s="246" t="s">
        <v>130</v>
      </c>
      <c r="M4" s="275"/>
      <c r="N4" s="218" t="s">
        <v>382</v>
      </c>
      <c r="O4" s="101"/>
      <c r="P4" s="3"/>
    </row>
    <row r="5" spans="1:26" ht="18.95" customHeight="1">
      <c r="A5" s="3"/>
      <c r="B5" s="136" t="s">
        <v>143</v>
      </c>
      <c r="C5" s="136" t="s">
        <v>144</v>
      </c>
      <c r="D5" s="246" t="s">
        <v>133</v>
      </c>
      <c r="E5" s="218" t="s">
        <v>383</v>
      </c>
      <c r="F5" s="268"/>
      <c r="G5" s="268"/>
      <c r="H5" s="246" t="s">
        <v>133</v>
      </c>
      <c r="I5" s="218" t="s">
        <v>383</v>
      </c>
      <c r="J5" s="268"/>
      <c r="K5" s="268"/>
      <c r="L5" s="246" t="s">
        <v>133</v>
      </c>
      <c r="M5" s="275"/>
      <c r="N5" s="218" t="s">
        <v>383</v>
      </c>
      <c r="O5" s="101"/>
      <c r="P5" s="3"/>
      <c r="S5">
        <v>3157</v>
      </c>
      <c r="T5">
        <v>3417</v>
      </c>
      <c r="U5">
        <f>T5-S5</f>
        <v>260</v>
      </c>
      <c r="V5">
        <f>U5/T5</f>
        <v>7.6090137547556336E-2</v>
      </c>
    </row>
    <row r="6" spans="1:26" ht="18" customHeight="1">
      <c r="A6" s="3"/>
      <c r="B6" s="138">
        <f>C6*0.7</f>
        <v>215.95</v>
      </c>
      <c r="C6" s="265">
        <v>308.5</v>
      </c>
      <c r="D6" s="272">
        <v>315</v>
      </c>
      <c r="E6">
        <v>3157</v>
      </c>
      <c r="F6" s="256"/>
      <c r="G6" s="256"/>
      <c r="H6" s="248"/>
      <c r="I6" s="269"/>
      <c r="J6" s="269"/>
      <c r="K6" s="269"/>
      <c r="L6" s="248"/>
      <c r="M6" s="274"/>
      <c r="N6" s="269"/>
      <c r="O6" s="112"/>
      <c r="P6" s="3"/>
      <c r="V6">
        <f>1-V5</f>
        <v>0.92390986245244366</v>
      </c>
    </row>
    <row r="7" spans="1:26" ht="18" customHeight="1">
      <c r="A7" s="3"/>
      <c r="B7" s="138">
        <f t="shared" ref="B7:B12" si="0">C7*0.7</f>
        <v>215.95</v>
      </c>
      <c r="C7" s="265">
        <v>308.5</v>
      </c>
      <c r="D7" s="272">
        <v>350</v>
      </c>
      <c r="E7">
        <v>3170.8586479367868</v>
      </c>
      <c r="F7" s="256"/>
      <c r="G7" s="256"/>
      <c r="H7" s="272">
        <v>365</v>
      </c>
      <c r="I7" s="256">
        <v>3522.8683055311676</v>
      </c>
      <c r="J7" s="256"/>
      <c r="K7" s="256"/>
      <c r="L7" s="248"/>
      <c r="M7" s="274"/>
      <c r="N7" s="269"/>
      <c r="O7" s="112"/>
      <c r="P7" s="3"/>
      <c r="Y7">
        <f t="shared" ref="Y7:Y12" si="1">Z7*$V$6</f>
        <v>0</v>
      </c>
    </row>
    <row r="8" spans="1:26" ht="18" customHeight="1">
      <c r="A8" s="3"/>
      <c r="B8" s="138">
        <f t="shared" si="0"/>
        <v>241.47031102733268</v>
      </c>
      <c r="C8" s="265">
        <v>344.95758718190388</v>
      </c>
      <c r="D8" s="272">
        <v>400</v>
      </c>
      <c r="E8">
        <v>3255.8583552824116</v>
      </c>
      <c r="F8" s="256"/>
      <c r="G8" s="256"/>
      <c r="H8" s="272">
        <v>400</v>
      </c>
      <c r="I8" s="256">
        <v>3522.8683055311676</v>
      </c>
      <c r="J8" s="256"/>
      <c r="K8" s="256"/>
      <c r="L8" s="272">
        <v>415</v>
      </c>
      <c r="M8" s="274"/>
      <c r="N8" s="269">
        <v>4170.8529119110299</v>
      </c>
      <c r="O8" s="112"/>
      <c r="P8" s="3"/>
      <c r="Y8">
        <f t="shared" si="1"/>
        <v>4170.5291191103306</v>
      </c>
      <c r="Z8">
        <v>4514</v>
      </c>
    </row>
    <row r="9" spans="1:26" ht="18" customHeight="1">
      <c r="A9" s="3"/>
      <c r="B9" s="138">
        <f t="shared" si="0"/>
        <v>241.47031102733268</v>
      </c>
      <c r="C9" s="265">
        <v>344.95758718190388</v>
      </c>
      <c r="D9" s="272">
        <v>450</v>
      </c>
      <c r="E9">
        <v>3648.5200468246999</v>
      </c>
      <c r="F9" s="256"/>
      <c r="G9" s="256"/>
      <c r="H9" s="272">
        <v>450</v>
      </c>
      <c r="I9" s="256">
        <v>3926.8169154228899</v>
      </c>
      <c r="J9" s="256"/>
      <c r="K9" s="256"/>
      <c r="L9" s="272">
        <v>450</v>
      </c>
      <c r="M9" s="273"/>
      <c r="N9" s="256">
        <v>4180.96921275973</v>
      </c>
      <c r="O9" s="15"/>
      <c r="P9" s="3"/>
      <c r="Y9">
        <f t="shared" si="1"/>
        <v>4180.6921275973073</v>
      </c>
      <c r="Z9">
        <v>4525</v>
      </c>
    </row>
    <row r="10" spans="1:26" ht="18.95" customHeight="1">
      <c r="A10" s="3"/>
      <c r="B10" s="138">
        <f t="shared" si="0"/>
        <v>263.9019792648445</v>
      </c>
      <c r="C10" s="265">
        <v>377.00282752120643</v>
      </c>
      <c r="D10" s="272">
        <v>500</v>
      </c>
      <c r="E10">
        <v>3736.8291483757598</v>
      </c>
      <c r="F10" s="256"/>
      <c r="G10" s="256"/>
      <c r="H10" s="272">
        <v>500</v>
      </c>
      <c r="I10" s="256">
        <v>4028.8247000292599</v>
      </c>
      <c r="J10" s="256"/>
      <c r="K10" s="256"/>
      <c r="L10" s="272">
        <v>500</v>
      </c>
      <c r="M10" s="273"/>
      <c r="N10" s="256">
        <v>4295.8256950541399</v>
      </c>
      <c r="O10" s="15"/>
      <c r="P10" s="3"/>
      <c r="Y10">
        <f t="shared" si="1"/>
        <v>4295.2569505414103</v>
      </c>
      <c r="Z10">
        <v>4649</v>
      </c>
    </row>
    <row r="11" spans="1:26" ht="18" customHeight="1">
      <c r="A11" s="3"/>
      <c r="B11" s="138">
        <f t="shared" si="0"/>
        <v>263.9019792648445</v>
      </c>
      <c r="C11" s="265">
        <v>377.00282752120643</v>
      </c>
      <c r="D11" s="272">
        <v>550</v>
      </c>
      <c r="E11">
        <v>4126.8181445712598</v>
      </c>
      <c r="F11" s="256"/>
      <c r="G11" s="256"/>
      <c r="H11" s="272">
        <v>550</v>
      </c>
      <c r="I11" s="256">
        <v>4417.8213052385099</v>
      </c>
      <c r="J11" s="256"/>
      <c r="K11" s="256"/>
      <c r="L11" s="272">
        <v>550</v>
      </c>
      <c r="M11" s="273"/>
      <c r="N11" s="256">
        <v>4685.8146912496304</v>
      </c>
      <c r="O11" s="15"/>
      <c r="P11" s="3"/>
      <c r="Y11">
        <f t="shared" si="1"/>
        <v>4685.1469124963414</v>
      </c>
      <c r="Z11">
        <v>5071</v>
      </c>
    </row>
    <row r="12" spans="1:26" ht="18" customHeight="1">
      <c r="A12" s="3"/>
      <c r="B12" s="138">
        <f t="shared" si="0"/>
        <v>290.2921771913289</v>
      </c>
      <c r="C12" s="265">
        <v>414.70311027332707</v>
      </c>
      <c r="D12" s="272">
        <v>600</v>
      </c>
      <c r="E12">
        <v>4217.9648522095404</v>
      </c>
      <c r="F12" s="256"/>
      <c r="G12" s="256"/>
      <c r="H12" s="272">
        <v>600</v>
      </c>
      <c r="I12" s="256">
        <v>4518.9843137254902</v>
      </c>
      <c r="J12" s="256"/>
      <c r="K12" s="256"/>
      <c r="L12" s="272">
        <v>600</v>
      </c>
      <c r="M12" s="273"/>
      <c r="N12" s="256">
        <v>4800.9635645302897</v>
      </c>
      <c r="O12" s="15"/>
      <c r="P12" s="3"/>
      <c r="Y12">
        <f t="shared" si="1"/>
        <v>4800.6356453028975</v>
      </c>
      <c r="Z12">
        <v>5196</v>
      </c>
    </row>
    <row r="13" spans="1:26" ht="14.8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6" ht="16.5" customHeight="1">
      <c r="A14" s="2"/>
      <c r="B14" s="755" t="s">
        <v>7</v>
      </c>
      <c r="C14" s="755"/>
      <c r="D14" s="755"/>
      <c r="E14" s="755"/>
      <c r="F14" s="755"/>
      <c r="G14" s="229"/>
      <c r="H14" s="755" t="s">
        <v>150</v>
      </c>
      <c r="I14" s="755"/>
      <c r="J14" s="755"/>
      <c r="K14" s="755"/>
      <c r="L14" s="755"/>
      <c r="M14" s="755"/>
      <c r="N14" s="755"/>
      <c r="O14" s="755"/>
      <c r="P14" s="2"/>
    </row>
    <row r="15" spans="1:26" ht="18.95" customHeight="1">
      <c r="A15" s="3"/>
      <c r="B15" s="539"/>
      <c r="C15" s="540"/>
      <c r="D15" s="540"/>
      <c r="E15" s="540"/>
      <c r="F15" s="249"/>
      <c r="G15" s="249"/>
      <c r="H15" s="539" t="s">
        <v>146</v>
      </c>
      <c r="I15" s="540"/>
      <c r="J15" s="540"/>
      <c r="K15" s="540"/>
      <c r="L15" s="540"/>
      <c r="M15" s="540"/>
      <c r="N15" s="540"/>
      <c r="O15" s="123">
        <v>-169</v>
      </c>
      <c r="P15" s="3"/>
    </row>
    <row r="16" spans="1:26" ht="18" customHeight="1">
      <c r="A16" s="3"/>
      <c r="B16" s="542" t="s">
        <v>386</v>
      </c>
      <c r="C16" s="543"/>
      <c r="D16" s="543"/>
      <c r="E16" s="543"/>
      <c r="F16" s="252">
        <v>-46.8</v>
      </c>
      <c r="G16" s="252"/>
      <c r="H16" s="542" t="s">
        <v>147</v>
      </c>
      <c r="I16" s="543"/>
      <c r="J16" s="543"/>
      <c r="K16" s="543"/>
      <c r="L16" s="543"/>
      <c r="M16" s="543"/>
      <c r="N16" s="543"/>
      <c r="O16" s="127">
        <v>-150</v>
      </c>
      <c r="P16" s="3"/>
    </row>
    <row r="17" spans="1:16" ht="16.5" customHeight="1">
      <c r="A17" s="2"/>
      <c r="B17" s="693" t="s">
        <v>9</v>
      </c>
      <c r="C17" s="694"/>
      <c r="D17" s="694"/>
      <c r="E17" s="694"/>
      <c r="F17" s="796">
        <v>70</v>
      </c>
      <c r="G17" s="797"/>
      <c r="H17" s="2"/>
      <c r="I17" s="2"/>
      <c r="J17" s="2"/>
      <c r="K17" s="2"/>
      <c r="L17" s="2"/>
      <c r="M17" s="2"/>
      <c r="N17" s="2"/>
      <c r="O17" s="2"/>
      <c r="P17" s="2"/>
    </row>
    <row r="18" spans="1:16" ht="15" customHeight="1">
      <c r="A18" s="2"/>
      <c r="B18" s="699"/>
      <c r="C18" s="700"/>
      <c r="D18" s="700"/>
      <c r="E18" s="700"/>
      <c r="F18" s="798"/>
      <c r="G18" s="799"/>
      <c r="H18" s="689" t="s">
        <v>153</v>
      </c>
      <c r="I18" s="689"/>
      <c r="J18" s="689"/>
      <c r="K18" s="689"/>
      <c r="L18" s="689"/>
      <c r="M18" s="689"/>
      <c r="N18" s="689"/>
      <c r="O18" s="689"/>
      <c r="P18" s="689"/>
    </row>
    <row r="19" spans="1:16" ht="18" customHeight="1">
      <c r="A19" s="3"/>
      <c r="B19" s="574" t="s">
        <v>393</v>
      </c>
      <c r="C19" s="543"/>
      <c r="D19" s="543"/>
      <c r="E19" s="544"/>
      <c r="F19" s="475">
        <v>687</v>
      </c>
      <c r="G19" s="282"/>
      <c r="H19" s="3"/>
      <c r="I19" s="3"/>
      <c r="J19" s="3"/>
      <c r="K19" s="3"/>
      <c r="L19" s="3"/>
      <c r="M19" s="3"/>
      <c r="N19" s="3"/>
      <c r="O19" s="3"/>
      <c r="P19" s="3"/>
    </row>
    <row r="20" spans="1:16" ht="18.75" customHeight="1">
      <c r="A20" s="3"/>
      <c r="B20" s="605" t="s">
        <v>394</v>
      </c>
      <c r="C20" s="540"/>
      <c r="D20" s="540"/>
      <c r="E20" s="540"/>
      <c r="F20" s="476">
        <v>109</v>
      </c>
      <c r="G20" s="280"/>
      <c r="H20" s="3"/>
      <c r="I20" s="3"/>
      <c r="J20" s="3"/>
      <c r="K20" s="3"/>
      <c r="L20" s="3"/>
      <c r="M20" s="3"/>
      <c r="N20" s="3"/>
      <c r="O20" s="3"/>
      <c r="P20" s="3"/>
    </row>
  </sheetData>
  <mergeCells count="16">
    <mergeCell ref="B19:E19"/>
    <mergeCell ref="B20:E20"/>
    <mergeCell ref="B15:E15"/>
    <mergeCell ref="H15:N15"/>
    <mergeCell ref="B16:E16"/>
    <mergeCell ref="H16:N16"/>
    <mergeCell ref="B17:E18"/>
    <mergeCell ref="F17:G18"/>
    <mergeCell ref="H18:P18"/>
    <mergeCell ref="B14:F14"/>
    <mergeCell ref="H14:O14"/>
    <mergeCell ref="A1:P1"/>
    <mergeCell ref="B2:O2"/>
    <mergeCell ref="A3:F3"/>
    <mergeCell ref="H3:J3"/>
    <mergeCell ref="L3:P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B942-D796-41B4-ACA8-0952194944F1}">
  <sheetPr codeName="Blad44">
    <tabColor theme="7" tint="-0.249977111117893"/>
    <pageSetUpPr fitToPage="1"/>
  </sheetPr>
  <dimension ref="A1:R20"/>
  <sheetViews>
    <sheetView workbookViewId="0"/>
  </sheetViews>
  <sheetFormatPr defaultRowHeight="12.75"/>
  <cols>
    <col min="1" max="1" width="2" customWidth="1"/>
    <col min="2" max="2" width="10.83203125" customWidth="1"/>
    <col min="3" max="3" width="11.1640625" customWidth="1"/>
    <col min="4" max="4" width="8.1640625" customWidth="1"/>
    <col min="5" max="5" width="7.5" customWidth="1"/>
    <col min="6" max="6" width="11" customWidth="1"/>
    <col min="7" max="7" width="6.6640625" customWidth="1"/>
    <col min="8" max="8" width="7.83203125" bestFit="1" customWidth="1"/>
    <col min="9" max="9" width="7.5" customWidth="1"/>
    <col min="10" max="10" width="8.33203125" customWidth="1"/>
    <col min="11" max="11" width="6.6640625" customWidth="1"/>
    <col min="12" max="12" width="7.83203125" bestFit="1" customWidth="1"/>
    <col min="13" max="13" width="6.83203125" customWidth="1"/>
    <col min="14" max="14" width="9.6640625" customWidth="1"/>
    <col min="15" max="15" width="10.1640625" customWidth="1"/>
    <col min="16" max="16" width="11.1640625" customWidth="1"/>
  </cols>
  <sheetData>
    <row r="1" spans="1:18" ht="30.75" customHeight="1">
      <c r="B1" s="803" t="s">
        <v>389</v>
      </c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473"/>
    </row>
    <row r="2" spans="1:18" ht="24" customHeight="1">
      <c r="A2" s="3"/>
      <c r="B2" s="785" t="s">
        <v>269</v>
      </c>
      <c r="C2" s="775"/>
      <c r="D2" s="775"/>
      <c r="E2" s="775"/>
      <c r="F2" s="775"/>
      <c r="G2" s="775"/>
      <c r="H2" s="775"/>
      <c r="I2" s="775"/>
      <c r="J2" s="775"/>
      <c r="K2" s="775"/>
      <c r="L2" s="775"/>
      <c r="M2" s="775"/>
      <c r="N2" s="775"/>
      <c r="O2" s="775"/>
      <c r="P2" s="3"/>
    </row>
    <row r="3" spans="1:18" ht="35.1" customHeight="1">
      <c r="A3" s="801" t="s">
        <v>390</v>
      </c>
      <c r="B3" s="794"/>
      <c r="C3" s="794"/>
      <c r="D3" s="794"/>
      <c r="E3" s="794"/>
      <c r="F3" s="794"/>
      <c r="G3" s="232"/>
      <c r="H3" s="804" t="s">
        <v>391</v>
      </c>
      <c r="I3" s="795"/>
      <c r="J3" s="795"/>
      <c r="K3" s="233"/>
      <c r="L3" s="800" t="s">
        <v>392</v>
      </c>
      <c r="M3" s="800"/>
      <c r="N3" s="800"/>
      <c r="O3" s="312"/>
      <c r="P3" s="312"/>
    </row>
    <row r="4" spans="1:18" ht="18" customHeight="1">
      <c r="A4" s="3"/>
      <c r="B4" s="266" t="s">
        <v>142</v>
      </c>
      <c r="C4" s="267"/>
      <c r="D4" s="246" t="s">
        <v>130</v>
      </c>
      <c r="E4" s="218" t="s">
        <v>382</v>
      </c>
      <c r="F4" s="470"/>
      <c r="G4" s="268"/>
      <c r="H4" s="246" t="s">
        <v>130</v>
      </c>
      <c r="I4" s="218" t="s">
        <v>382</v>
      </c>
      <c r="J4" s="470"/>
      <c r="K4" s="268"/>
      <c r="L4" s="246" t="s">
        <v>130</v>
      </c>
      <c r="M4" s="218" t="s">
        <v>382</v>
      </c>
    </row>
    <row r="5" spans="1:18" ht="18.95" customHeight="1">
      <c r="A5" s="3"/>
      <c r="B5" s="136" t="s">
        <v>143</v>
      </c>
      <c r="C5" s="136" t="s">
        <v>144</v>
      </c>
      <c r="D5" s="246" t="s">
        <v>133</v>
      </c>
      <c r="E5" s="218" t="s">
        <v>383</v>
      </c>
      <c r="F5" s="470"/>
      <c r="G5" s="268"/>
      <c r="H5" s="246" t="s">
        <v>133</v>
      </c>
      <c r="I5" s="218" t="s">
        <v>383</v>
      </c>
      <c r="J5" s="470"/>
      <c r="K5" s="268"/>
      <c r="L5" s="246" t="s">
        <v>133</v>
      </c>
      <c r="M5" s="218" t="s">
        <v>383</v>
      </c>
    </row>
    <row r="6" spans="1:18" ht="18" customHeight="1">
      <c r="A6" s="3"/>
      <c r="B6" s="138">
        <f>(('SunElite 2'!B6/(1+Korting!$B$3)*(1-Korting!$B$2)*Prijsmutaties!$C$9)/1.076)</f>
        <v>198.74532467507413</v>
      </c>
      <c r="C6" s="138">
        <f>(('SunElite 2'!C6/(1+Korting!$B$3)*(1-Korting!$B$2)*Prijsmutaties!$C$9)/1.076)</f>
        <v>283.92189239296312</v>
      </c>
      <c r="D6" s="194">
        <v>315</v>
      </c>
      <c r="E6" s="190">
        <f>(('SunElite 2'!E6/(1+Korting!$B$3)*(1-Korting!$B$2)*Prijsmutaties!$I$9))+1</f>
        <v>2759.4994616366089</v>
      </c>
      <c r="F6" s="469"/>
      <c r="G6" s="256"/>
      <c r="H6" s="248"/>
      <c r="I6" s="190"/>
      <c r="J6" s="471"/>
      <c r="K6" s="269"/>
      <c r="L6" s="248"/>
      <c r="M6" s="190"/>
    </row>
    <row r="7" spans="1:18" ht="18" customHeight="1">
      <c r="A7" s="3"/>
      <c r="B7" s="138">
        <f>(('SunElite 2'!B7/(1+Korting!$B$3)*(1-Korting!$B$2)*Prijsmutaties!$C$9)/1.076)</f>
        <v>198.74532467507413</v>
      </c>
      <c r="C7" s="138">
        <f>(('SunElite 2'!C7/(1+Korting!$B$3)*(1-Korting!$B$2)*Prijsmutaties!$C$9)/1.076)</f>
        <v>283.92189239296312</v>
      </c>
      <c r="D7" s="194">
        <v>350</v>
      </c>
      <c r="E7" s="190">
        <f>(('SunElite 2'!E7/(1+Korting!$B$3)*(1-Korting!$B$2)*Prijsmutaties!$I$9))+1</f>
        <v>2771.6087656824238</v>
      </c>
      <c r="F7" s="469"/>
      <c r="G7" s="256"/>
      <c r="H7" s="194">
        <v>365</v>
      </c>
      <c r="I7" s="190">
        <f>(('SunElite 2'!I7/(1+Korting!$B$3)*(1-Korting!$B$2)*Prijsmutaties!$I$9))+1</f>
        <v>3079.1850884461192</v>
      </c>
      <c r="J7" s="469"/>
      <c r="K7" s="256"/>
      <c r="L7" s="248"/>
      <c r="M7" s="190"/>
      <c r="R7" s="460"/>
    </row>
    <row r="8" spans="1:18" ht="18" customHeight="1">
      <c r="A8" s="3"/>
      <c r="B8" s="138">
        <f>(('SunElite 2'!B8/(1+Korting!$B$3)*(1-Korting!$B$2)*Prijsmutaties!$C$9)/1.076)</f>
        <v>222.23243975234257</v>
      </c>
      <c r="C8" s="138">
        <f>(('SunElite 2'!C8/(1+Korting!$B$3)*(1-Korting!$B$2)*Prijsmutaties!$C$9)/1.076)</f>
        <v>317.47491393191802</v>
      </c>
      <c r="D8" s="194">
        <v>400</v>
      </c>
      <c r="E8" s="190">
        <f>(('SunElite 2'!E8/(1+Korting!$B$3)*(1-Korting!$B$2)*Prijsmutaties!$I$9))+1</f>
        <v>2845.8791638300881</v>
      </c>
      <c r="F8" s="469"/>
      <c r="G8" s="256"/>
      <c r="H8" s="194">
        <v>400</v>
      </c>
      <c r="I8" s="190">
        <f>(('SunElite 2'!I8/(1+Korting!$B$3)*(1-Korting!$B$2)*Prijsmutaties!$I$9))+1</f>
        <v>3079.1850884461192</v>
      </c>
      <c r="J8" s="469"/>
      <c r="K8" s="256"/>
      <c r="L8" s="194">
        <v>415</v>
      </c>
      <c r="M8" s="190">
        <f>(('SunElite 2'!N8/(1+Korting!$B$3)*(1-Korting!$B$2)*Prijsmutaties!$I$9))</f>
        <v>3644.3761520659041</v>
      </c>
    </row>
    <row r="9" spans="1:18" ht="18" customHeight="1">
      <c r="A9" s="3"/>
      <c r="B9" s="138">
        <f>(('SunElite 2'!B9/(1+Korting!$B$3)*(1-Korting!$B$2)*Prijsmutaties!$C$9)/1.076)</f>
        <v>222.23243975234257</v>
      </c>
      <c r="C9" s="138">
        <f>(('SunElite 2'!C9/(1+Korting!$B$3)*(1-Korting!$B$2)*Prijsmutaties!$C$9)/1.076)</f>
        <v>317.47491393191802</v>
      </c>
      <c r="D9" s="194">
        <v>450</v>
      </c>
      <c r="E9" s="190">
        <f>(('SunElite 2'!E9/(1+Korting!$B$3)*(1-Korting!$B$2)*Prijsmutaties!$I$9))+1</f>
        <v>3188.9761117948401</v>
      </c>
      <c r="F9" s="469"/>
      <c r="G9" s="256"/>
      <c r="H9" s="194">
        <v>450</v>
      </c>
      <c r="I9" s="190">
        <f>(('SunElite 2'!I9/(1+Korting!$B$3)*(1-Korting!$B$2)*Prijsmutaties!$I$9))</f>
        <v>3431.1442341272</v>
      </c>
      <c r="J9" s="469"/>
      <c r="K9" s="256"/>
      <c r="L9" s="194">
        <v>450</v>
      </c>
      <c r="M9" s="190">
        <f>(('SunElite 2'!N9/(1+Korting!$B$3)*(1-Korting!$B$2)*Prijsmutaties!$I$9))</f>
        <v>3653.2154965210493</v>
      </c>
    </row>
    <row r="10" spans="1:18" ht="18.95" customHeight="1">
      <c r="A10" s="3"/>
      <c r="B10" s="138">
        <f>(('SunElite 2'!B10/(1+Korting!$B$3)*(1-Korting!$B$2)*Prijsmutaties!$C$9)/1.076)</f>
        <v>242.87698333589356</v>
      </c>
      <c r="C10" s="138">
        <f>(('SunElite 2'!C10/(1+Korting!$B$3)*(1-Korting!$B$2)*Prijsmutaties!$C$9)/1.076)</f>
        <v>346.96711905127648</v>
      </c>
      <c r="D10" s="194">
        <v>500</v>
      </c>
      <c r="E10" s="190">
        <f>(('SunElite 2'!E10/(1+Korting!$B$3)*(1-Korting!$B$2)*Prijsmutaties!$I$9))</f>
        <v>3265.1381672545208</v>
      </c>
      <c r="F10" s="469"/>
      <c r="G10" s="256"/>
      <c r="H10" s="194">
        <v>500</v>
      </c>
      <c r="I10" s="190">
        <f>(('SunElite 2'!I10/(1+Korting!$B$3)*(1-Korting!$B$2)*Prijsmutaties!$I$9))</f>
        <v>3520.2758207345541</v>
      </c>
      <c r="J10" s="469"/>
      <c r="K10" s="256"/>
      <c r="L10" s="194">
        <v>500</v>
      </c>
      <c r="M10" s="190">
        <f>(('SunElite 2'!N10/(1+Korting!$B$3)*(1-Korting!$B$2)*Prijsmutaties!$I$9))</f>
        <v>3753.5739205231412</v>
      </c>
    </row>
    <row r="11" spans="1:18" ht="18" customHeight="1">
      <c r="A11" s="3"/>
      <c r="B11" s="138">
        <f>(('SunElite 2'!B11/(1+Korting!$B$3)*(1-Korting!$B$2)*Prijsmutaties!$C$9)/1.076)</f>
        <v>242.87698333589356</v>
      </c>
      <c r="C11" s="138">
        <f>(('SunElite 2'!C11/(1+Korting!$B$3)*(1-Korting!$B$2)*Prijsmutaties!$C$9)/1.076)</f>
        <v>346.96711905127648</v>
      </c>
      <c r="D11" s="194">
        <v>550</v>
      </c>
      <c r="E11" s="190">
        <f>(('SunElite 2'!E11/(1+Korting!$B$3)*(1-Korting!$B$2)*Prijsmutaties!$I$9))</f>
        <v>3605.8997877960119</v>
      </c>
      <c r="F11" s="469"/>
      <c r="G11" s="256"/>
      <c r="H11" s="194">
        <v>550</v>
      </c>
      <c r="I11" s="190">
        <f>(('SunElite 2'!I11/(1+Korting!$B$3)*(1-Korting!$B$2)*Prijsmutaties!$I$9))</f>
        <v>3860.1703174238742</v>
      </c>
      <c r="J11" s="469"/>
      <c r="K11" s="256"/>
      <c r="L11" s="194">
        <v>550</v>
      </c>
      <c r="M11" s="190">
        <f>(('SunElite 2'!N11/(1+Korting!$B$3)*(1-Korting!$B$2)*Prijsmutaties!$I$9))</f>
        <v>4094.3355410646241</v>
      </c>
    </row>
    <row r="12" spans="1:18" ht="18" customHeight="1">
      <c r="A12" s="3"/>
      <c r="B12" s="138">
        <f>(('SunElite 2'!B12/(1+Korting!$B$3)*(1-Korting!$B$2)*Prijsmutaties!$C$9)/1.076)</f>
        <v>267.16468166948283</v>
      </c>
      <c r="C12" s="138">
        <f>(('SunElite 2'!C12/(1+Korting!$B$3)*(1-Korting!$B$2)*Prijsmutaties!$C$9)/1.076)</f>
        <v>381.66383095640413</v>
      </c>
      <c r="D12" s="194">
        <v>600</v>
      </c>
      <c r="E12" s="190">
        <f>(('SunElite 2'!E12/(1+Korting!$B$3)*(1-Korting!$B$2)*Prijsmutaties!$I$9))</f>
        <v>3685.5412651321367</v>
      </c>
      <c r="F12" s="469"/>
      <c r="G12" s="256"/>
      <c r="H12" s="194">
        <v>600</v>
      </c>
      <c r="I12" s="190">
        <f>(('SunElite 2'!I12/(1+Korting!$B$3)*(1-Korting!$B$2)*Prijsmutaties!$I$9))+1</f>
        <v>3949.5637619753074</v>
      </c>
      <c r="J12" s="469"/>
      <c r="K12" s="256"/>
      <c r="L12" s="194">
        <v>600</v>
      </c>
      <c r="M12" s="190">
        <f>(('SunElite 2'!N12/(1+Korting!$B$3)*(1-Korting!$B$2)*Prijsmutaties!$I$9))</f>
        <v>4194.9494482400314</v>
      </c>
    </row>
    <row r="13" spans="1:18" ht="14.8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8" ht="16.5" customHeight="1">
      <c r="A14" s="2"/>
      <c r="B14" s="755" t="s">
        <v>7</v>
      </c>
      <c r="C14" s="755"/>
      <c r="D14" s="755"/>
      <c r="E14" s="755"/>
      <c r="F14" s="755"/>
      <c r="G14" s="281"/>
      <c r="H14" s="3"/>
      <c r="I14" s="3"/>
      <c r="J14" s="3"/>
      <c r="K14" s="3"/>
      <c r="L14" s="3"/>
      <c r="M14" s="3"/>
      <c r="N14" s="3"/>
      <c r="O14" s="3"/>
      <c r="P14" s="2"/>
    </row>
    <row r="15" spans="1:18" ht="16.5">
      <c r="A15" s="3"/>
      <c r="B15" s="542" t="s">
        <v>386</v>
      </c>
      <c r="C15" s="543"/>
      <c r="D15" s="543"/>
      <c r="E15" s="543"/>
      <c r="F15" s="475">
        <f>(('SunElite 2'!F16/(1+Korting!$B$3)*(1-Korting!$B$2)*Prijsmutaties!$G$9))</f>
        <v>-42.183199338842968</v>
      </c>
      <c r="G15" s="281"/>
      <c r="H15" s="3"/>
      <c r="I15" s="3"/>
      <c r="J15" s="3"/>
      <c r="K15" s="3"/>
      <c r="L15" s="3"/>
      <c r="M15" s="3"/>
      <c r="N15" s="3"/>
      <c r="O15" s="3"/>
      <c r="P15" s="3"/>
    </row>
    <row r="16" spans="1:18" ht="16.5">
      <c r="A16" s="2"/>
      <c r="B16" s="693" t="s">
        <v>9</v>
      </c>
      <c r="C16" s="694"/>
      <c r="D16" s="694"/>
      <c r="E16" s="695"/>
      <c r="F16" s="476">
        <f>(('SunElite 2'!F17/(1+Korting!$B$3)*(1-Korting!$B$2)*Prijsmutaties!$G$9))</f>
        <v>63.094528925619827</v>
      </c>
      <c r="G16" s="281"/>
      <c r="H16" s="3"/>
      <c r="I16" s="3"/>
      <c r="J16" s="3"/>
      <c r="K16" s="3"/>
      <c r="L16" s="3"/>
      <c r="M16" s="3"/>
      <c r="N16" s="3"/>
      <c r="O16" s="3"/>
      <c r="P16" s="2"/>
    </row>
    <row r="17" spans="1:16" ht="16.5">
      <c r="A17" s="2"/>
      <c r="B17" s="574" t="s">
        <v>393</v>
      </c>
      <c r="C17" s="543"/>
      <c r="D17" s="543"/>
      <c r="E17" s="544"/>
      <c r="F17" s="475">
        <f>(('SunElite 2'!F19/(1+Korting!$B$3)*(1-Korting!$B$2)*Prijsmutaties!$G$9))</f>
        <v>619.22773388429744</v>
      </c>
      <c r="G17" s="281"/>
      <c r="H17" s="3"/>
      <c r="I17" s="3"/>
      <c r="J17" s="3"/>
      <c r="K17" s="3"/>
      <c r="L17" s="3"/>
      <c r="M17" s="3"/>
      <c r="N17" s="3"/>
      <c r="O17" s="3"/>
    </row>
    <row r="18" spans="1:16" ht="16.5">
      <c r="A18" s="3"/>
      <c r="B18" s="605" t="s">
        <v>394</v>
      </c>
      <c r="C18" s="540"/>
      <c r="D18" s="540"/>
      <c r="E18" s="540"/>
      <c r="F18" s="476">
        <f>(('SunElite 2'!F20/(1+Korting!$B$3)*(1-Korting!$B$2)*Prijsmutaties!$G$9))</f>
        <v>98.2471950413223</v>
      </c>
      <c r="G18" s="281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3.5">
      <c r="B20" s="782" t="s">
        <v>395</v>
      </c>
      <c r="C20" s="689"/>
      <c r="D20" s="689"/>
      <c r="E20" s="689"/>
      <c r="F20" s="689"/>
      <c r="G20" s="689"/>
      <c r="H20" s="689"/>
      <c r="I20" s="689"/>
      <c r="J20" s="689"/>
    </row>
  </sheetData>
  <sheetProtection algorithmName="SHA-512" hashValue="qJWzQuJUBwGtbjU+E9+fnwl+d3tn5BAPcluK4zRdg0MEfA7zHSRm914U7yjsB9rCZovbmvFpCP2FgP91/vqKeQ==" saltValue="uCNoac9fNjvObdyXU6bvaA==" spinCount="100000" sheet="1" objects="1" scenarios="1"/>
  <mergeCells count="11">
    <mergeCell ref="B1:O1"/>
    <mergeCell ref="B15:E15"/>
    <mergeCell ref="B16:E16"/>
    <mergeCell ref="B17:E17"/>
    <mergeCell ref="B20:J20"/>
    <mergeCell ref="B2:O2"/>
    <mergeCell ref="A3:F3"/>
    <mergeCell ref="H3:J3"/>
    <mergeCell ref="L3:N3"/>
    <mergeCell ref="B14:F14"/>
    <mergeCell ref="B18:E18"/>
  </mergeCells>
  <pageMargins left="0.70866141732283472" right="0.70866141732283472" top="0.74803149606299213" bottom="0.74803149606299213" header="0.31496062992125984" footer="0.31496062992125984"/>
  <pageSetup paperSize="9" scale="73" orientation="portrait" r:id="rId1"/>
  <headerFooter>
    <oddFooter>&amp;L&amp;D&amp;C&amp;F
Tabblad &amp;A&amp;RInkoopprijslijst excl. BTW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DBDE-3629-4A52-B00C-0A312206CE3E}">
  <sheetPr codeName="Blad26">
    <tabColor theme="7" tint="-0.249977111117893"/>
  </sheetPr>
  <dimension ref="A1:F27"/>
  <sheetViews>
    <sheetView workbookViewId="0">
      <selection activeCell="F20" sqref="F20"/>
    </sheetView>
  </sheetViews>
  <sheetFormatPr defaultRowHeight="12.75"/>
  <cols>
    <col min="1" max="1" width="22.5" customWidth="1"/>
    <col min="2" max="2" width="24.1640625" customWidth="1"/>
    <col min="3" max="3" width="11.5" customWidth="1"/>
    <col min="4" max="4" width="7.1640625" customWidth="1"/>
    <col min="5" max="5" width="65.5" customWidth="1"/>
  </cols>
  <sheetData>
    <row r="1" spans="1:6" ht="35.25" customHeight="1">
      <c r="A1" s="537" t="s">
        <v>160</v>
      </c>
      <c r="B1" s="537"/>
      <c r="C1" s="537"/>
      <c r="D1" s="537"/>
      <c r="E1" s="537"/>
    </row>
    <row r="2" spans="1:6" ht="27" customHeight="1">
      <c r="A2" s="805" t="s">
        <v>161</v>
      </c>
      <c r="B2" s="805"/>
      <c r="C2" s="805"/>
      <c r="D2" s="179"/>
      <c r="E2" s="805" t="s">
        <v>38</v>
      </c>
      <c r="F2" s="805"/>
    </row>
    <row r="3" spans="1:6" ht="26.1" customHeight="1">
      <c r="A3" s="626" t="s">
        <v>485</v>
      </c>
      <c r="B3" s="628"/>
      <c r="C3" s="177">
        <v>69</v>
      </c>
      <c r="D3" s="179"/>
      <c r="E3" s="35" t="s">
        <v>39</v>
      </c>
      <c r="F3" s="15">
        <v>40</v>
      </c>
    </row>
    <row r="4" spans="1:6" ht="24.95" customHeight="1">
      <c r="A4" s="605" t="s">
        <v>486</v>
      </c>
      <c r="B4" s="620"/>
      <c r="C4" s="178">
        <v>96</v>
      </c>
      <c r="D4" s="179"/>
      <c r="E4" s="37" t="s">
        <v>41</v>
      </c>
      <c r="F4" s="10">
        <v>45</v>
      </c>
    </row>
    <row r="5" spans="1:6" ht="26.1" customHeight="1">
      <c r="A5" s="648" t="s">
        <v>162</v>
      </c>
      <c r="B5" s="649"/>
      <c r="C5" s="177">
        <v>96</v>
      </c>
      <c r="D5" s="179"/>
      <c r="E5" s="325" t="s">
        <v>42</v>
      </c>
      <c r="F5" s="279">
        <v>18</v>
      </c>
    </row>
    <row r="6" spans="1:6" ht="25.7" customHeight="1">
      <c r="A6" s="686" t="s">
        <v>163</v>
      </c>
      <c r="B6" s="664"/>
      <c r="C6" s="178">
        <v>115</v>
      </c>
      <c r="D6" s="179"/>
      <c r="E6" s="292" t="s">
        <v>44</v>
      </c>
      <c r="F6" s="285">
        <v>54</v>
      </c>
    </row>
    <row r="7" spans="1:6" ht="42.2" customHeight="1">
      <c r="A7" s="381" t="s">
        <v>325</v>
      </c>
      <c r="B7" s="1"/>
      <c r="C7" s="1"/>
      <c r="E7" s="325" t="s">
        <v>46</v>
      </c>
      <c r="F7" s="279">
        <v>81</v>
      </c>
    </row>
    <row r="8" spans="1:6" ht="27" customHeight="1">
      <c r="A8" s="805" t="s">
        <v>165</v>
      </c>
      <c r="B8" s="805"/>
      <c r="C8" s="805"/>
      <c r="D8" s="179"/>
      <c r="E8" s="292" t="s">
        <v>48</v>
      </c>
      <c r="F8" s="285">
        <v>18</v>
      </c>
    </row>
    <row r="9" spans="1:6" ht="26.1" customHeight="1">
      <c r="A9" s="539" t="s">
        <v>166</v>
      </c>
      <c r="B9" s="541"/>
      <c r="C9" s="36">
        <v>70</v>
      </c>
      <c r="D9" s="179"/>
      <c r="E9" s="2"/>
      <c r="F9" s="2"/>
    </row>
    <row r="10" spans="1:6" ht="27" customHeight="1">
      <c r="A10" s="451" t="s">
        <v>57</v>
      </c>
      <c r="B10" s="452"/>
      <c r="C10" s="283">
        <v>107</v>
      </c>
      <c r="D10" s="180"/>
      <c r="E10" s="2"/>
      <c r="F10" s="2"/>
    </row>
    <row r="11" spans="1:6" ht="27" customHeight="1">
      <c r="A11" s="806" t="s">
        <v>367</v>
      </c>
      <c r="B11" s="807"/>
      <c r="C11" s="384">
        <v>145.5</v>
      </c>
      <c r="D11" s="180"/>
      <c r="E11" s="805" t="s">
        <v>49</v>
      </c>
      <c r="F11" s="805"/>
    </row>
    <row r="12" spans="1:6" ht="27" customHeight="1">
      <c r="A12" s="2"/>
      <c r="B12" s="2"/>
      <c r="C12" s="2"/>
      <c r="D12" s="180"/>
      <c r="E12" s="325" t="s">
        <v>50</v>
      </c>
      <c r="F12" s="279">
        <v>36</v>
      </c>
    </row>
    <row r="13" spans="1:6" ht="27" customHeight="1">
      <c r="E13" s="292" t="s">
        <v>52</v>
      </c>
      <c r="F13" s="285">
        <v>49.5</v>
      </c>
    </row>
    <row r="14" spans="1:6" ht="27" customHeight="1">
      <c r="E14" s="382" t="s">
        <v>285</v>
      </c>
      <c r="F14" s="279">
        <v>89</v>
      </c>
    </row>
    <row r="15" spans="1:6" ht="27" customHeight="1">
      <c r="E15" s="2"/>
      <c r="F15" s="2"/>
    </row>
    <row r="16" spans="1:6" ht="27" customHeight="1">
      <c r="E16" s="383" t="s">
        <v>56</v>
      </c>
      <c r="F16" s="383"/>
    </row>
    <row r="17" spans="5:6" ht="27" customHeight="1">
      <c r="E17" s="325" t="s">
        <v>58</v>
      </c>
      <c r="F17" s="279">
        <v>27</v>
      </c>
    </row>
    <row r="18" spans="5:6" ht="27" customHeight="1">
      <c r="E18" s="292" t="s">
        <v>310</v>
      </c>
      <c r="F18" s="285">
        <v>36</v>
      </c>
    </row>
    <row r="19" spans="5:6" ht="27" customHeight="1">
      <c r="E19" s="382" t="s">
        <v>311</v>
      </c>
      <c r="F19" s="279">
        <v>54</v>
      </c>
    </row>
    <row r="22" spans="5:6" ht="12.75" customHeight="1"/>
    <row r="23" spans="5:6" ht="12.75" customHeight="1"/>
    <row r="24" spans="5:6" ht="12.75" customHeight="1"/>
    <row r="25" spans="5:6" ht="12.75" customHeight="1"/>
    <row r="26" spans="5:6" ht="12.75" customHeight="1"/>
    <row r="27" spans="5:6" ht="12.75" customHeight="1"/>
  </sheetData>
  <mergeCells count="11">
    <mergeCell ref="E11:F11"/>
    <mergeCell ref="A8:C8"/>
    <mergeCell ref="A9:B9"/>
    <mergeCell ref="A11:B11"/>
    <mergeCell ref="A6:B6"/>
    <mergeCell ref="A5:B5"/>
    <mergeCell ref="E2:F2"/>
    <mergeCell ref="A1:E1"/>
    <mergeCell ref="A2:C2"/>
    <mergeCell ref="A3:B3"/>
    <mergeCell ref="A4:B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Blad27">
    <tabColor theme="7" tint="-0.249977111117893"/>
    <pageSetUpPr fitToPage="1"/>
  </sheetPr>
  <dimension ref="A1:F19"/>
  <sheetViews>
    <sheetView workbookViewId="0">
      <selection sqref="A1:E1"/>
    </sheetView>
  </sheetViews>
  <sheetFormatPr defaultRowHeight="12.75"/>
  <cols>
    <col min="1" max="1" width="18.6640625" customWidth="1"/>
    <col min="2" max="2" width="24.1640625" customWidth="1"/>
    <col min="3" max="3" width="11.5" customWidth="1"/>
    <col min="4" max="4" width="7.1640625" customWidth="1"/>
    <col min="5" max="5" width="65.5" customWidth="1"/>
  </cols>
  <sheetData>
    <row r="1" spans="1:6" ht="35.25" customHeight="1">
      <c r="A1" s="537" t="s">
        <v>160</v>
      </c>
      <c r="B1" s="537"/>
      <c r="C1" s="537"/>
      <c r="D1" s="537"/>
      <c r="E1" s="537"/>
    </row>
    <row r="2" spans="1:6" ht="27" customHeight="1">
      <c r="A2" s="805" t="s">
        <v>161</v>
      </c>
      <c r="B2" s="805"/>
      <c r="C2" s="805"/>
      <c r="D2" s="179"/>
      <c r="E2" s="805" t="s">
        <v>38</v>
      </c>
      <c r="F2" s="805"/>
    </row>
    <row r="3" spans="1:6" ht="26.1" customHeight="1">
      <c r="A3" s="808" t="s">
        <v>485</v>
      </c>
      <c r="B3" s="809"/>
      <c r="C3" s="384">
        <f>(('Optie Knik (2)'!C3/(1+Korting!$B$3)*(1-Korting!$B$2)*Prijsmutaties!$G$9))</f>
        <v>62.193178512396692</v>
      </c>
      <c r="D3" s="179"/>
      <c r="E3" s="386" t="s">
        <v>39</v>
      </c>
      <c r="F3" s="384">
        <f>(('Optie Knik (2)'!F3/(1+Korting!$B$3)*(1-Korting!$B$2)*Prijsmutaties!$G$9))</f>
        <v>36.054016528925622</v>
      </c>
    </row>
    <row r="4" spans="1:6" ht="24.95" customHeight="1">
      <c r="A4" s="626" t="s">
        <v>486</v>
      </c>
      <c r="B4" s="628"/>
      <c r="C4" s="385">
        <f>(('Optie Knik (2)'!C4/(1+Korting!$B$3)*(1-Korting!$B$2)*Prijsmutaties!$G$9))</f>
        <v>86.529639669421485</v>
      </c>
      <c r="D4" s="179"/>
      <c r="E4" s="387" t="s">
        <v>41</v>
      </c>
      <c r="F4" s="385">
        <f>(('Optie Knik (2)'!F4/(1+Korting!$B$3)*(1-Korting!$B$2)*Prijsmutaties!$G$9))</f>
        <v>40.560768595041317</v>
      </c>
    </row>
    <row r="5" spans="1:6" ht="26.1" customHeight="1">
      <c r="A5" s="810" t="s">
        <v>162</v>
      </c>
      <c r="B5" s="811"/>
      <c r="C5" s="384">
        <f>(('Optie Knik (2)'!C5/(1+Korting!$B$3)*(1-Korting!$B$2)*Prijsmutaties!$G$9))</f>
        <v>86.529639669421485</v>
      </c>
      <c r="D5" s="179"/>
      <c r="E5" s="388" t="s">
        <v>42</v>
      </c>
      <c r="F5" s="384">
        <f>(('Optie Knik (2)'!F5/(1+Korting!$B$3)*(1-Korting!$B$2)*Prijsmutaties!$G$9))</f>
        <v>16.224307438016528</v>
      </c>
    </row>
    <row r="6" spans="1:6" ht="25.7" customHeight="1">
      <c r="A6" s="684" t="s">
        <v>163</v>
      </c>
      <c r="B6" s="685"/>
      <c r="C6" s="385">
        <f>(('Optie Knik (2)'!C6/(1+Korting!$B$3)*(1-Korting!$B$2)*Prijsmutaties!$G$9))</f>
        <v>103.65529752066115</v>
      </c>
      <c r="D6" s="179"/>
      <c r="E6" s="389" t="s">
        <v>44</v>
      </c>
      <c r="F6" s="385">
        <f>(('Optie Knik (2)'!F6/(1+Korting!$B$3)*(1-Korting!$B$2)*Prijsmutaties!$G$9))</f>
        <v>48.672922314049586</v>
      </c>
    </row>
    <row r="7" spans="1:6" ht="27" customHeight="1">
      <c r="A7" s="816" t="s">
        <v>164</v>
      </c>
      <c r="B7" s="816"/>
      <c r="C7" s="1"/>
      <c r="E7" s="388" t="s">
        <v>46</v>
      </c>
      <c r="F7" s="384">
        <f>(('Optie Knik (2)'!F7/(1+Korting!$B$3)*(1-Korting!$B$2)*Prijsmutaties!$G$9))</f>
        <v>73.009383471074372</v>
      </c>
    </row>
    <row r="8" spans="1:6" ht="27" customHeight="1">
      <c r="A8" s="812" t="s">
        <v>398</v>
      </c>
      <c r="B8" s="805"/>
      <c r="C8" s="805"/>
      <c r="D8" s="179"/>
      <c r="E8" s="389" t="s">
        <v>48</v>
      </c>
      <c r="F8" s="385">
        <f>(('Optie Knik (2)'!F8/(1+Korting!$B$3)*(1-Korting!$B$2)*Prijsmutaties!$G$9))</f>
        <v>16.224307438016528</v>
      </c>
    </row>
    <row r="9" spans="1:6" ht="26.1" customHeight="1">
      <c r="A9" s="813" t="s">
        <v>166</v>
      </c>
      <c r="B9" s="807"/>
      <c r="C9" s="384">
        <f>(('Optie Knik (2)'!C9/(1+Korting!$B$3)*(1-Korting!$B$2)*Prijsmutaties!$G$9))</f>
        <v>63.094528925619827</v>
      </c>
      <c r="D9" s="179"/>
      <c r="E9" s="2"/>
      <c r="F9" s="2"/>
    </row>
    <row r="10" spans="1:6" ht="27" customHeight="1">
      <c r="A10" s="814" t="s">
        <v>57</v>
      </c>
      <c r="B10" s="815"/>
      <c r="C10" s="385">
        <f>(('Optie Knik (2)'!C10/(1+Korting!$B$3)*(1-Korting!$B$2)*Prijsmutaties!$G$9))</f>
        <v>96.44449421487603</v>
      </c>
      <c r="D10" s="180"/>
      <c r="E10" s="2"/>
      <c r="F10" s="2"/>
    </row>
    <row r="11" spans="1:6" ht="27" customHeight="1">
      <c r="A11" s="806" t="s">
        <v>367</v>
      </c>
      <c r="B11" s="807"/>
      <c r="C11" s="384">
        <f>(('Optie Knik (2)'!C11/(1+Korting!$B$3)*(1-Korting!$B$2)*Prijsmutaties!$G$9))</f>
        <v>131.14648512396693</v>
      </c>
      <c r="D11" s="180"/>
      <c r="E11" s="805" t="s">
        <v>49</v>
      </c>
      <c r="F11" s="805"/>
    </row>
    <row r="12" spans="1:6" ht="27" customHeight="1">
      <c r="E12" s="390" t="s">
        <v>377</v>
      </c>
      <c r="F12" s="384">
        <f>(('Optie Knik (2)'!F12/(1+Korting!$B$3)*(1-Korting!$B$2)*Prijsmutaties!$G$9))</f>
        <v>32.448614876033055</v>
      </c>
    </row>
    <row r="13" spans="1:6" ht="27" customHeight="1">
      <c r="E13" s="477" t="s">
        <v>378</v>
      </c>
      <c r="F13" s="385">
        <f>(('Optie Knik (2)'!F13/(1+Korting!$B$3)*(1-Korting!$B$2)*Prijsmutaties!$G$9))</f>
        <v>44.616845454545455</v>
      </c>
    </row>
    <row r="14" spans="1:6" ht="27" customHeight="1">
      <c r="E14" s="390" t="s">
        <v>379</v>
      </c>
      <c r="F14" s="384">
        <f>(('Optie Knik (2)'!F14/(1+Korting!$B$3)*(1-Korting!$B$2)*Prijsmutaties!$G$9))</f>
        <v>80.220186776859492</v>
      </c>
    </row>
    <row r="15" spans="1:6" ht="27" customHeight="1">
      <c r="E15" s="2"/>
      <c r="F15" s="2"/>
    </row>
    <row r="16" spans="1:6" ht="27" customHeight="1">
      <c r="E16" s="805" t="s">
        <v>56</v>
      </c>
      <c r="F16" s="805"/>
    </row>
    <row r="17" spans="5:6" ht="27" customHeight="1">
      <c r="E17" s="390" t="s">
        <v>377</v>
      </c>
      <c r="F17" s="384">
        <f>(('Optie Knik (2)'!F17/(1+Korting!$B$3)*(1-Korting!$B$2)*Prijsmutaties!$G$9))</f>
        <v>24.336461157024793</v>
      </c>
    </row>
    <row r="18" spans="5:6" ht="27" customHeight="1">
      <c r="E18" s="477" t="s">
        <v>378</v>
      </c>
      <c r="F18" s="385">
        <f>(('Optie Knik (2)'!F18/(1+Korting!$B$3)*(1-Korting!$B$2)*Prijsmutaties!$G$9))</f>
        <v>32.448614876033055</v>
      </c>
    </row>
    <row r="19" spans="5:6" ht="27" customHeight="1">
      <c r="E19" s="390" t="s">
        <v>379</v>
      </c>
      <c r="F19" s="384">
        <f>(('Optie Knik (2)'!F19/(1+Korting!$B$3)*(1-Korting!$B$2)*Prijsmutaties!$G$9))</f>
        <v>48.672922314049586</v>
      </c>
    </row>
  </sheetData>
  <sheetProtection algorithmName="SHA-512" hashValue="EOSUorOTw4MGtVbSEDzW6UA5mC72+PLGN0i2ZsDwW5N6BZtyU05cB948heytz6cMoXFJ2mXq0xxRHYqnr3RgFA==" saltValue="LOkCqBQDLx1KACKpFJdodA==" spinCount="100000" sheet="1" objects="1" scenarios="1"/>
  <mergeCells count="14">
    <mergeCell ref="E16:F16"/>
    <mergeCell ref="E11:F11"/>
    <mergeCell ref="A6:B6"/>
    <mergeCell ref="A8:C8"/>
    <mergeCell ref="A9:B9"/>
    <mergeCell ref="A10:B10"/>
    <mergeCell ref="A7:B7"/>
    <mergeCell ref="A11:B11"/>
    <mergeCell ref="A1:E1"/>
    <mergeCell ref="A2:C2"/>
    <mergeCell ref="A3:B3"/>
    <mergeCell ref="A4:B4"/>
    <mergeCell ref="A5:B5"/>
    <mergeCell ref="E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&amp;L&amp;D&amp;C&amp;F
Tabblad &amp;A&amp;RInkoopprijslijst excl. BTW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731E3-D306-4836-A09C-CD6140E6F28C}">
  <sheetPr codeName="Blad28">
    <tabColor theme="7" tint="-0.249977111117893"/>
  </sheetPr>
  <dimension ref="A1:H20"/>
  <sheetViews>
    <sheetView workbookViewId="0">
      <selection activeCell="E12" sqref="E12"/>
    </sheetView>
  </sheetViews>
  <sheetFormatPr defaultRowHeight="12.75"/>
  <cols>
    <col min="1" max="1" width="4" customWidth="1"/>
    <col min="2" max="2" width="32.1640625" customWidth="1"/>
    <col min="3" max="3" width="23.83203125" customWidth="1"/>
    <col min="4" max="4" width="14" customWidth="1"/>
    <col min="5" max="5" width="17.5" customWidth="1"/>
    <col min="6" max="6" width="17.83203125" customWidth="1"/>
    <col min="7" max="7" width="10.83203125" customWidth="1"/>
    <col min="8" max="8" width="14.6640625" customWidth="1"/>
  </cols>
  <sheetData>
    <row r="1" spans="1:8" ht="41.45" customHeight="1">
      <c r="A1" s="820" t="s">
        <v>167</v>
      </c>
      <c r="B1" s="820"/>
      <c r="C1" s="820"/>
      <c r="D1" s="820"/>
      <c r="E1" s="820"/>
      <c r="F1" s="820"/>
      <c r="G1" s="820"/>
    </row>
    <row r="2" spans="1:8" ht="18" customHeight="1">
      <c r="A2" s="2"/>
      <c r="B2" s="121" t="s">
        <v>326</v>
      </c>
      <c r="C2" s="391" t="s">
        <v>430</v>
      </c>
      <c r="D2" s="391" t="s">
        <v>330</v>
      </c>
      <c r="E2" s="398"/>
      <c r="F2" s="393">
        <v>59.8</v>
      </c>
      <c r="G2" s="2"/>
    </row>
    <row r="3" spans="1:8" ht="18" customHeight="1">
      <c r="A3" s="2"/>
      <c r="B3" s="118" t="s">
        <v>431</v>
      </c>
      <c r="C3" s="125" t="s">
        <v>432</v>
      </c>
      <c r="D3" s="125" t="s">
        <v>330</v>
      </c>
      <c r="E3" s="394">
        <v>9.9</v>
      </c>
      <c r="F3" s="394">
        <v>69</v>
      </c>
      <c r="G3" s="2"/>
    </row>
    <row r="4" spans="1:8" ht="18" customHeight="1">
      <c r="A4" s="2"/>
      <c r="B4" s="121" t="s">
        <v>433</v>
      </c>
      <c r="C4" s="122" t="s">
        <v>333</v>
      </c>
      <c r="D4" s="122" t="s">
        <v>330</v>
      </c>
      <c r="E4" s="393">
        <v>9.9</v>
      </c>
      <c r="F4" s="393">
        <v>69</v>
      </c>
      <c r="G4" s="2"/>
    </row>
    <row r="5" spans="1:8" ht="18" customHeight="1">
      <c r="A5" s="2"/>
      <c r="B5" s="392" t="s">
        <v>434</v>
      </c>
      <c r="C5" s="125" t="s">
        <v>333</v>
      </c>
      <c r="D5" s="125" t="s">
        <v>330</v>
      </c>
      <c r="E5" s="397">
        <v>18</v>
      </c>
      <c r="F5" s="391">
        <v>78.5</v>
      </c>
      <c r="G5" s="2"/>
    </row>
    <row r="6" spans="1:8" ht="18.95" customHeight="1">
      <c r="A6" s="2"/>
      <c r="B6" s="391" t="s">
        <v>435</v>
      </c>
      <c r="C6" s="391" t="s">
        <v>333</v>
      </c>
      <c r="D6" s="397" t="s">
        <v>330</v>
      </c>
      <c r="E6" s="398">
        <v>31</v>
      </c>
      <c r="F6" s="392">
        <v>82.5</v>
      </c>
      <c r="G6" s="2"/>
    </row>
    <row r="7" spans="1:8" ht="18" customHeight="1">
      <c r="A7" s="2"/>
      <c r="B7" s="37" t="s">
        <v>436</v>
      </c>
      <c r="C7" s="125"/>
      <c r="D7" s="398" t="s">
        <v>330</v>
      </c>
      <c r="E7" s="397"/>
      <c r="F7" s="394">
        <v>59.8</v>
      </c>
      <c r="G7" s="2"/>
    </row>
    <row r="8" spans="1:8" ht="18" customHeight="1">
      <c r="A8" s="2"/>
      <c r="B8" s="35"/>
      <c r="C8" s="396"/>
      <c r="D8" s="122"/>
      <c r="E8">
        <v>31</v>
      </c>
      <c r="F8">
        <v>82.5</v>
      </c>
      <c r="G8" s="2"/>
    </row>
    <row r="9" spans="1:8" ht="18" customHeight="1">
      <c r="A9" s="2"/>
      <c r="B9" s="395" t="s">
        <v>327</v>
      </c>
      <c r="C9" s="125"/>
      <c r="D9" s="125"/>
      <c r="E9" s="398"/>
      <c r="F9" s="393"/>
      <c r="G9" s="2"/>
    </row>
    <row r="10" spans="1:8" ht="18" customHeight="1">
      <c r="A10" s="2"/>
      <c r="B10" s="35" t="s">
        <v>328</v>
      </c>
      <c r="C10" s="122"/>
      <c r="D10" s="122" t="s">
        <v>317</v>
      </c>
      <c r="E10" s="397">
        <v>33</v>
      </c>
      <c r="F10" s="394">
        <v>50.5</v>
      </c>
      <c r="G10" s="2"/>
    </row>
    <row r="11" spans="1:8" ht="18.95" customHeight="1">
      <c r="A11" s="2"/>
      <c r="B11" s="392" t="s">
        <v>329</v>
      </c>
      <c r="C11" s="125"/>
      <c r="D11" s="125" t="s">
        <v>317</v>
      </c>
      <c r="E11" s="398">
        <v>46</v>
      </c>
      <c r="F11" s="393">
        <v>58</v>
      </c>
      <c r="G11" s="2"/>
    </row>
    <row r="12" spans="1:8" ht="18" customHeight="1">
      <c r="A12" s="2"/>
      <c r="B12" s="8"/>
      <c r="C12" s="122"/>
      <c r="D12" s="122"/>
      <c r="E12" s="226"/>
      <c r="F12" s="123"/>
      <c r="G12" s="2"/>
    </row>
    <row r="15" spans="1:8" ht="16.5">
      <c r="B15" s="654" t="s">
        <v>169</v>
      </c>
      <c r="C15" s="817"/>
      <c r="D15" s="817"/>
      <c r="E15" s="655"/>
      <c r="F15" s="818" t="s">
        <v>117</v>
      </c>
      <c r="G15" s="819"/>
      <c r="H15" s="131">
        <v>0.4</v>
      </c>
    </row>
    <row r="16" spans="1:8" ht="16.5">
      <c r="B16" s="682" t="s">
        <v>170</v>
      </c>
      <c r="C16" s="821"/>
      <c r="D16" s="821"/>
      <c r="E16" s="683"/>
      <c r="F16" s="822" t="s">
        <v>121</v>
      </c>
      <c r="G16" s="823"/>
      <c r="H16" s="127">
        <v>10</v>
      </c>
    </row>
    <row r="17" spans="2:8" ht="16.5">
      <c r="B17" s="654" t="s">
        <v>171</v>
      </c>
      <c r="C17" s="817"/>
      <c r="D17" s="817"/>
      <c r="E17" s="655"/>
      <c r="F17" s="818" t="s">
        <v>121</v>
      </c>
      <c r="G17" s="819"/>
      <c r="H17" s="123">
        <v>10</v>
      </c>
    </row>
    <row r="18" spans="2:8" ht="16.5">
      <c r="B18" s="682" t="s">
        <v>122</v>
      </c>
      <c r="C18" s="821"/>
      <c r="D18" s="821"/>
      <c r="E18" s="683"/>
      <c r="F18" s="822" t="s">
        <v>117</v>
      </c>
      <c r="G18" s="823"/>
      <c r="H18" s="132">
        <v>0.5</v>
      </c>
    </row>
    <row r="19" spans="2:8" ht="16.5">
      <c r="B19" s="654" t="s">
        <v>123</v>
      </c>
      <c r="C19" s="817"/>
      <c r="D19" s="817"/>
      <c r="E19" s="655"/>
      <c r="F19" s="826" t="s">
        <v>107</v>
      </c>
      <c r="G19" s="825"/>
      <c r="H19" s="131">
        <v>-0.1</v>
      </c>
    </row>
    <row r="20" spans="2:8" ht="16.5">
      <c r="B20" s="729" t="s">
        <v>331</v>
      </c>
      <c r="C20" s="817"/>
      <c r="D20" s="817"/>
      <c r="E20" s="655"/>
      <c r="F20" s="824" t="s">
        <v>332</v>
      </c>
      <c r="G20" s="825"/>
      <c r="H20" s="15">
        <v>5</v>
      </c>
    </row>
  </sheetData>
  <mergeCells count="13">
    <mergeCell ref="B20:E20"/>
    <mergeCell ref="F20:G20"/>
    <mergeCell ref="B18:E18"/>
    <mergeCell ref="F18:G18"/>
    <mergeCell ref="B19:E19"/>
    <mergeCell ref="F19:G19"/>
    <mergeCell ref="B17:E17"/>
    <mergeCell ref="F17:G17"/>
    <mergeCell ref="A1:G1"/>
    <mergeCell ref="B15:E15"/>
    <mergeCell ref="F15:G15"/>
    <mergeCell ref="B16:E16"/>
    <mergeCell ref="F16:G16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Blad29">
    <tabColor theme="7" tint="-0.249977111117893"/>
    <pageSetUpPr fitToPage="1"/>
  </sheetPr>
  <dimension ref="A1:N16"/>
  <sheetViews>
    <sheetView zoomScaleNormal="100" workbookViewId="0">
      <selection sqref="A1:G1"/>
    </sheetView>
  </sheetViews>
  <sheetFormatPr defaultRowHeight="12.75"/>
  <cols>
    <col min="1" max="1" width="4" customWidth="1"/>
    <col min="2" max="2" width="32.1640625" customWidth="1"/>
    <col min="3" max="3" width="18.33203125" bestFit="1" customWidth="1"/>
    <col min="4" max="4" width="14" customWidth="1"/>
    <col min="5" max="5" width="18.33203125" bestFit="1" customWidth="1"/>
    <col min="6" max="7" width="10.83203125" customWidth="1"/>
    <col min="8" max="8" width="14.6640625" customWidth="1"/>
    <col min="14" max="14" width="11" customWidth="1"/>
  </cols>
  <sheetData>
    <row r="1" spans="1:14" ht="41.45" customHeight="1">
      <c r="A1" s="820" t="s">
        <v>167</v>
      </c>
      <c r="B1" s="820"/>
      <c r="C1" s="820"/>
      <c r="D1" s="820"/>
      <c r="E1" s="820"/>
      <c r="F1" s="820"/>
      <c r="G1" s="820"/>
    </row>
    <row r="2" spans="1:14" ht="34.5">
      <c r="A2" s="375"/>
      <c r="B2" s="828" t="s">
        <v>355</v>
      </c>
      <c r="C2" s="828"/>
      <c r="D2" s="428"/>
      <c r="E2" s="430" t="s">
        <v>356</v>
      </c>
      <c r="F2" s="430" t="s">
        <v>357</v>
      </c>
      <c r="G2" s="375"/>
      <c r="H2" s="435" t="s">
        <v>358</v>
      </c>
      <c r="I2" s="429"/>
      <c r="J2" s="827"/>
      <c r="K2" s="827"/>
      <c r="L2" s="827"/>
      <c r="M2" s="827"/>
      <c r="N2" s="430" t="s">
        <v>357</v>
      </c>
    </row>
    <row r="3" spans="1:14" ht="18" customHeight="1">
      <c r="A3" s="2"/>
      <c r="B3" s="426" t="s">
        <v>326</v>
      </c>
      <c r="C3" s="425" t="s">
        <v>168</v>
      </c>
      <c r="D3" s="391"/>
      <c r="E3" s="8"/>
      <c r="F3" s="15">
        <f>(('Zonweringsdoek (2)'!F2/(1+Korting!$B$3)*(1-Korting!$B$2)*Prijsmutaties!$E$9))</f>
        <v>56.945972428696862</v>
      </c>
      <c r="G3" s="2"/>
      <c r="H3" s="654" t="s">
        <v>169</v>
      </c>
      <c r="I3" s="817"/>
      <c r="J3" s="817"/>
      <c r="K3" s="655"/>
      <c r="L3" s="818" t="s">
        <v>117</v>
      </c>
      <c r="M3" s="819"/>
      <c r="N3" s="131">
        <v>0.4</v>
      </c>
    </row>
    <row r="4" spans="1:14" ht="18" customHeight="1">
      <c r="A4" s="2"/>
      <c r="B4" s="118" t="s">
        <v>487</v>
      </c>
      <c r="C4" s="125" t="s">
        <v>432</v>
      </c>
      <c r="D4" s="125" t="s">
        <v>330</v>
      </c>
      <c r="E4" s="304">
        <f>(('Zonweringsdoek (2)'!E3/(1+Korting!$B$3)*(1-Korting!$B$2)*Prijsmutaties!$E$9))</f>
        <v>9.4275104856872733</v>
      </c>
      <c r="F4" s="304">
        <f>(('Zonweringsdoek (2)'!F3/(1+Korting!$B$3)*(1-Korting!$B$2)*Prijsmutaties!$E$9))</f>
        <v>65.706891263881005</v>
      </c>
      <c r="G4" s="2"/>
      <c r="H4" s="682" t="s">
        <v>170</v>
      </c>
      <c r="I4" s="821"/>
      <c r="J4" s="821"/>
      <c r="K4" s="683"/>
      <c r="L4" s="829" t="s">
        <v>399</v>
      </c>
      <c r="M4" s="830"/>
      <c r="N4" s="831"/>
    </row>
    <row r="5" spans="1:14" ht="18" customHeight="1">
      <c r="A5" s="2"/>
      <c r="B5" s="121" t="s">
        <v>433</v>
      </c>
      <c r="C5" s="122" t="s">
        <v>333</v>
      </c>
      <c r="D5" s="122" t="s">
        <v>330</v>
      </c>
      <c r="E5" s="15">
        <f>(('Zonweringsdoek (2)'!E4/(1+Korting!$B$3)*(1-Korting!$B$2)*Prijsmutaties!$E$9))</f>
        <v>9.4275104856872733</v>
      </c>
      <c r="F5" s="15">
        <f>(('Zonweringsdoek (2)'!F4/(1+Korting!$B$3)*(1-Korting!$B$2)*Prijsmutaties!$E$9))</f>
        <v>65.706891263881005</v>
      </c>
      <c r="G5" s="2"/>
      <c r="H5" s="654" t="s">
        <v>171</v>
      </c>
      <c r="I5" s="817"/>
      <c r="J5" s="817"/>
      <c r="K5" s="655"/>
      <c r="L5" s="826" t="s">
        <v>399</v>
      </c>
      <c r="M5" s="832"/>
      <c r="N5" s="825"/>
    </row>
    <row r="6" spans="1:14" ht="18" customHeight="1">
      <c r="A6" s="2"/>
      <c r="B6" s="392" t="s">
        <v>434</v>
      </c>
      <c r="C6" s="125"/>
      <c r="D6" s="125" t="s">
        <v>330</v>
      </c>
      <c r="E6" s="304">
        <f>(('Zonweringsdoek (2)'!E5/(1+Korting!$B$3)*(1-Korting!$B$2)*Prijsmutaties!$E$9))</f>
        <v>17.140928155795041</v>
      </c>
      <c r="F6" s="304">
        <f>(('Zonweringsdoek (2)'!F5/(1+Korting!$B$3)*(1-Korting!$B$2)*Prijsmutaties!$E$9))</f>
        <v>74.753492234995051</v>
      </c>
      <c r="G6" s="2"/>
      <c r="H6" s="682" t="s">
        <v>122</v>
      </c>
      <c r="I6" s="821"/>
      <c r="J6" s="821"/>
      <c r="K6" s="683"/>
      <c r="L6" s="829" t="s">
        <v>399</v>
      </c>
      <c r="M6" s="830"/>
      <c r="N6" s="831"/>
    </row>
    <row r="7" spans="1:14" ht="18.95" customHeight="1">
      <c r="A7" s="2"/>
      <c r="B7" s="391" t="s">
        <v>435</v>
      </c>
      <c r="C7" s="391"/>
      <c r="D7" s="397" t="s">
        <v>330</v>
      </c>
      <c r="E7" s="15">
        <f>(('Zonweringsdoek (2)'!E6/(1+Korting!$B$3)*(1-Korting!$B$2)*Prijsmutaties!$E$9))</f>
        <v>29.520487379424797</v>
      </c>
      <c r="F7" s="15">
        <f>(('Zonweringsdoek (2)'!F6/(1+Korting!$B$3)*(1-Korting!$B$2)*Prijsmutaties!$E$9))</f>
        <v>78.56258738072728</v>
      </c>
      <c r="G7" s="2"/>
      <c r="H7" s="654"/>
      <c r="I7" s="817"/>
      <c r="J7" s="817"/>
      <c r="K7" s="655"/>
      <c r="L7" s="826"/>
      <c r="M7" s="832"/>
      <c r="N7" s="825"/>
    </row>
    <row r="8" spans="1:14" ht="18" customHeight="1">
      <c r="A8" s="2"/>
      <c r="B8" s="427" t="s">
        <v>436</v>
      </c>
      <c r="C8" s="125"/>
      <c r="D8" s="398" t="s">
        <v>330</v>
      </c>
      <c r="E8" s="225"/>
      <c r="F8" s="304">
        <f>(('Zonweringsdoek (2)'!F7/(1+Korting!$B$3)*(1-Korting!$B$2)*Prijsmutaties!$E$9))</f>
        <v>56.945972428696862</v>
      </c>
      <c r="G8" s="2"/>
      <c r="H8" s="729"/>
      <c r="I8" s="817"/>
      <c r="J8" s="817"/>
      <c r="K8" s="655"/>
      <c r="L8" s="824"/>
      <c r="M8" s="825"/>
      <c r="N8" s="15"/>
    </row>
    <row r="9" spans="1:14" ht="18" customHeight="1">
      <c r="A9" s="2"/>
      <c r="B9" s="426" t="s">
        <v>488</v>
      </c>
      <c r="C9" s="396" t="s">
        <v>333</v>
      </c>
      <c r="D9" s="505" t="s">
        <v>330</v>
      </c>
      <c r="E9" s="15">
        <f>(('Zonweringsdoek (2)'!E8/(1+Korting!$B$3)*(1-Korting!$B$2)*Prijsmutaties!$E$9))</f>
        <v>29.520487379424797</v>
      </c>
      <c r="F9" s="15">
        <f>(('Zonweringsdoek (2)'!F8/(1+Korting!$B$3)*(1-Korting!$B$2)*Prijsmutaties!$E$9))</f>
        <v>78.56258738072728</v>
      </c>
      <c r="G9" s="2"/>
    </row>
    <row r="10" spans="1:14" ht="18" customHeight="1">
      <c r="A10" s="2"/>
      <c r="B10" s="431"/>
      <c r="C10" s="432"/>
      <c r="D10" s="433"/>
      <c r="E10" s="434"/>
      <c r="F10" s="173"/>
      <c r="G10" s="2"/>
    </row>
    <row r="11" spans="1:14" ht="20.25" customHeight="1">
      <c r="A11" s="2"/>
      <c r="B11" s="827" t="s">
        <v>327</v>
      </c>
      <c r="C11" s="827"/>
      <c r="D11" s="827"/>
      <c r="E11" s="827"/>
      <c r="F11" s="428"/>
      <c r="G11" s="2"/>
    </row>
    <row r="12" spans="1:14" ht="18" customHeight="1">
      <c r="A12" s="2"/>
      <c r="B12" s="426" t="s">
        <v>328</v>
      </c>
      <c r="C12" s="122"/>
      <c r="D12" s="122" t="s">
        <v>317</v>
      </c>
      <c r="E12" s="15">
        <f>(('Zonweringsdoek (2)'!E10/(1+Korting!$B$3)*(1-Korting!$B$2)*Prijsmutaties!$E$9))</f>
        <v>31.425034952290911</v>
      </c>
      <c r="F12" s="15">
        <f>(('Zonweringsdoek (2)'!F10/(1+Korting!$B$3)*(1-Korting!$B$2)*Prijsmutaties!$E$9))</f>
        <v>48.089826214869426</v>
      </c>
      <c r="G12" s="2"/>
    </row>
    <row r="13" spans="1:14" ht="18.95" customHeight="1">
      <c r="A13" s="2"/>
      <c r="B13" s="453" t="s">
        <v>329</v>
      </c>
      <c r="C13" s="125"/>
      <c r="D13" s="125" t="s">
        <v>317</v>
      </c>
      <c r="E13" s="10">
        <f>(('Zonweringsdoek (2)'!E11/(1+Korting!$B$3)*(1-Korting!$B$2)*Prijsmutaties!$E$9))</f>
        <v>43.804594175920663</v>
      </c>
      <c r="F13" s="10">
        <f>(('Zonweringsdoek (2)'!F11/(1+Korting!$B$3)*(1-Korting!$B$2)*Prijsmutaties!$E$9))</f>
        <v>55.231879613117357</v>
      </c>
      <c r="G13" s="2"/>
    </row>
    <row r="15" spans="1:14">
      <c r="B15" t="s">
        <v>437</v>
      </c>
    </row>
    <row r="16" spans="1:14">
      <c r="B16" t="s">
        <v>438</v>
      </c>
    </row>
  </sheetData>
  <sheetProtection algorithmName="SHA-512" hashValue="VC6wcvpwk4TDrhPlIVdy6n/7GY2koABoj33LLLKRUBNVLwRdSbhgK9mCn+r6h7Q2UPHMMko1J1OfDKinkRCViQ==" saltValue="9aSjHIEJ/3DrPz74lxQ80w==" spinCount="100000" sheet="1" objects="1" scenarios="1"/>
  <mergeCells count="18">
    <mergeCell ref="A1:G1"/>
    <mergeCell ref="H3:K3"/>
    <mergeCell ref="L3:M3"/>
    <mergeCell ref="H4:K4"/>
    <mergeCell ref="L4:N4"/>
    <mergeCell ref="B11:C11"/>
    <mergeCell ref="D11:E11"/>
    <mergeCell ref="J2:K2"/>
    <mergeCell ref="L2:M2"/>
    <mergeCell ref="B2:C2"/>
    <mergeCell ref="H8:K8"/>
    <mergeCell ref="L8:M8"/>
    <mergeCell ref="H5:K5"/>
    <mergeCell ref="H6:K6"/>
    <mergeCell ref="H7:K7"/>
    <mergeCell ref="L6:N6"/>
    <mergeCell ref="L5:N5"/>
    <mergeCell ref="L7:N7"/>
  </mergeCells>
  <phoneticPr fontId="34" type="noConversion"/>
  <pageMargins left="0.70866141732283472" right="0.70866141732283472" top="0.74803149606299213" bottom="0.74803149606299213" header="0.31496062992125984" footer="0.31496062992125984"/>
  <pageSetup paperSize="9" scale="51" orientation="portrait" r:id="rId1"/>
  <headerFooter>
    <oddFooter>&amp;L&amp;D&amp;C&amp;F
Tabblad &amp;A&amp;RInkoopprijslijst excl. BTW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7DA4-BC49-4314-A841-1AD7E20D2BD5}">
  <sheetPr codeName="Blad30">
    <tabColor rgb="FFFFC000"/>
  </sheetPr>
  <dimension ref="A1:AA29"/>
  <sheetViews>
    <sheetView workbookViewId="0">
      <selection activeCell="C3" sqref="C3:R12"/>
    </sheetView>
  </sheetViews>
  <sheetFormatPr defaultRowHeight="12.75"/>
  <cols>
    <col min="1" max="1" width="3.5" customWidth="1"/>
    <col min="2" max="2" width="10.5" customWidth="1"/>
    <col min="3" max="3" width="6" customWidth="1"/>
    <col min="4" max="4" width="5.83203125" customWidth="1"/>
    <col min="5" max="5" width="6" customWidth="1"/>
    <col min="6" max="6" width="5.83203125" customWidth="1"/>
    <col min="7" max="7" width="6" customWidth="1"/>
    <col min="8" max="8" width="4.6640625" bestFit="1" customWidth="1"/>
    <col min="9" max="9" width="7.5" bestFit="1" customWidth="1"/>
    <col min="10" max="10" width="5.83203125" bestFit="1" customWidth="1"/>
    <col min="11" max="11" width="6.5" customWidth="1"/>
    <col min="12" max="12" width="6.6640625" customWidth="1"/>
    <col min="13" max="14" width="6.5" customWidth="1"/>
    <col min="15" max="15" width="6.6640625" customWidth="1"/>
    <col min="16" max="16" width="6.5" customWidth="1"/>
    <col min="17" max="17" width="5.83203125" bestFit="1" customWidth="1"/>
    <col min="18" max="18" width="8.33203125" bestFit="1" customWidth="1"/>
    <col min="19" max="19" width="11.33203125" customWidth="1"/>
  </cols>
  <sheetData>
    <row r="1" spans="1:27" ht="75" customHeight="1">
      <c r="A1" s="537" t="s">
        <v>172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</row>
    <row r="2" spans="1:27" ht="18.95" customHeight="1">
      <c r="A2" s="833" t="s">
        <v>173</v>
      </c>
      <c r="B2" s="107" t="s">
        <v>174</v>
      </c>
      <c r="C2" s="46">
        <v>100</v>
      </c>
      <c r="D2" s="46">
        <v>120</v>
      </c>
      <c r="E2" s="5">
        <v>140</v>
      </c>
      <c r="F2" s="140">
        <v>160</v>
      </c>
      <c r="G2" s="5">
        <v>180</v>
      </c>
      <c r="H2" s="287">
        <v>200</v>
      </c>
      <c r="I2" s="5">
        <v>220</v>
      </c>
      <c r="J2" s="287">
        <v>240</v>
      </c>
      <c r="K2" s="39">
        <v>260</v>
      </c>
      <c r="L2" s="5">
        <v>280</v>
      </c>
      <c r="M2" s="5">
        <v>300</v>
      </c>
      <c r="N2" s="5">
        <v>320</v>
      </c>
      <c r="O2" s="5">
        <v>340</v>
      </c>
      <c r="P2" s="5">
        <v>360</v>
      </c>
      <c r="Q2" s="287">
        <v>380</v>
      </c>
      <c r="R2" s="40">
        <v>400</v>
      </c>
      <c r="S2" s="2"/>
    </row>
    <row r="3" spans="1:27" ht="18" customHeight="1">
      <c r="A3" s="833"/>
      <c r="B3" s="13">
        <v>100</v>
      </c>
      <c r="C3" s="53">
        <v>568.5735834958308</v>
      </c>
      <c r="D3" s="53">
        <v>591.68802308624299</v>
      </c>
      <c r="E3" s="10">
        <v>621.27450576197054</v>
      </c>
      <c r="F3" s="81">
        <v>650.86098843769798</v>
      </c>
      <c r="G3" s="10">
        <v>678.59831594619266</v>
      </c>
      <c r="H3" s="242">
        <v>710.03395378915309</v>
      </c>
      <c r="I3" s="10">
        <v>734.99754854679816</v>
      </c>
      <c r="J3" s="242">
        <v>760.88572088805972</v>
      </c>
      <c r="K3" s="41">
        <v>790.47220356378728</v>
      </c>
      <c r="L3" s="10">
        <v>818.20953107228195</v>
      </c>
      <c r="M3" s="10">
        <v>853.34347924970825</v>
      </c>
      <c r="N3" s="10">
        <v>881.08080675820293</v>
      </c>
      <c r="O3" s="10">
        <v>910.66728943393048</v>
      </c>
      <c r="P3" s="10">
        <v>940.25377210965803</v>
      </c>
      <c r="Q3" s="242">
        <v>967.99109961815248</v>
      </c>
      <c r="R3" s="42">
        <v>1022.5411770515252</v>
      </c>
      <c r="S3" s="2"/>
    </row>
    <row r="4" spans="1:27" ht="18" customHeight="1">
      <c r="A4" s="833"/>
      <c r="B4" s="5">
        <v>120</v>
      </c>
      <c r="C4" s="52">
        <v>587.98971275177701</v>
      </c>
      <c r="D4" s="52">
        <v>621.27450576197054</v>
      </c>
      <c r="E4" s="15">
        <v>650.86098843769798</v>
      </c>
      <c r="F4" s="82">
        <v>682.29662628065864</v>
      </c>
      <c r="G4" s="15">
        <v>716.50599687446845</v>
      </c>
      <c r="H4" s="256">
        <v>746.092479550196</v>
      </c>
      <c r="I4" s="15">
        <v>779.37727256038943</v>
      </c>
      <c r="J4" s="256">
        <v>808.96375523611698</v>
      </c>
      <c r="K4" s="44">
        <v>849.64516891524238</v>
      </c>
      <c r="L4" s="15">
        <v>881.08080675820293</v>
      </c>
      <c r="M4" s="15">
        <v>889.40200501075128</v>
      </c>
      <c r="N4" s="15">
        <v>918.98848768647883</v>
      </c>
      <c r="O4" s="15">
        <v>948.57497036220639</v>
      </c>
      <c r="P4" s="15">
        <v>976.31229787070083</v>
      </c>
      <c r="Q4" s="256">
        <v>1005.8987805464284</v>
      </c>
      <c r="R4" s="45">
        <v>1058.599702812568</v>
      </c>
      <c r="S4" s="2"/>
    </row>
    <row r="5" spans="1:27" ht="18" customHeight="1">
      <c r="A5" s="833"/>
      <c r="B5" s="13">
        <v>140</v>
      </c>
      <c r="C5" s="53">
        <v>608.33041959133982</v>
      </c>
      <c r="D5" s="53">
        <v>644.38894535238262</v>
      </c>
      <c r="E5" s="10">
        <v>678.59831594619266</v>
      </c>
      <c r="F5" s="81">
        <v>714.65684170723557</v>
      </c>
      <c r="G5" s="10">
        <v>746.092479550196</v>
      </c>
      <c r="H5" s="242">
        <v>779.37727256038943</v>
      </c>
      <c r="I5" s="10">
        <v>823.75699657398081</v>
      </c>
      <c r="J5" s="242">
        <v>841.32397066269402</v>
      </c>
      <c r="K5" s="41">
        <v>870.91045333842158</v>
      </c>
      <c r="L5" s="10">
        <v>900.49693601414913</v>
      </c>
      <c r="M5" s="10">
        <v>931.93257385710956</v>
      </c>
      <c r="N5" s="10">
        <v>965.2173668673031</v>
      </c>
      <c r="O5" s="10">
        <v>1005.8987805464284</v>
      </c>
      <c r="P5" s="10">
        <v>1039.1835735566219</v>
      </c>
      <c r="Q5" s="242">
        <v>1073.392944150432</v>
      </c>
      <c r="R5" s="53">
        <v>1126.0938664165715</v>
      </c>
      <c r="S5" s="2"/>
      <c r="X5" t="s">
        <v>489</v>
      </c>
    </row>
    <row r="6" spans="1:27" ht="18" customHeight="1">
      <c r="A6" s="833"/>
      <c r="B6" s="5">
        <v>160</v>
      </c>
      <c r="C6" s="52">
        <v>634.21859193260138</v>
      </c>
      <c r="D6" s="52">
        <v>672.12627286087718</v>
      </c>
      <c r="E6" s="15">
        <v>710.03395378915309</v>
      </c>
      <c r="F6" s="82">
        <v>746.092479550196</v>
      </c>
      <c r="G6" s="15">
        <v>782.15100531123903</v>
      </c>
      <c r="H6" s="256">
        <v>830.22903965929629</v>
      </c>
      <c r="I6" s="15">
        <v>847.79601374800939</v>
      </c>
      <c r="J6" s="256">
        <v>881.08080675820293</v>
      </c>
      <c r="K6" s="44">
        <v>917.13933251924584</v>
      </c>
      <c r="L6" s="15">
        <v>953.19785828028876</v>
      </c>
      <c r="M6" s="15">
        <v>997.57758229388003</v>
      </c>
      <c r="N6" s="15">
        <v>1030.8623753040733</v>
      </c>
      <c r="O6" s="15">
        <v>1065.0717458978834</v>
      </c>
      <c r="P6" s="15">
        <v>1119.6218233312561</v>
      </c>
      <c r="Q6" s="256">
        <v>1155.6803490922991</v>
      </c>
      <c r="R6" s="52">
        <v>1216.7024696109872</v>
      </c>
      <c r="S6" s="2"/>
      <c r="W6" t="s">
        <v>490</v>
      </c>
      <c r="X6">
        <v>99</v>
      </c>
    </row>
    <row r="7" spans="1:27" ht="18" customHeight="1">
      <c r="A7" s="833"/>
      <c r="B7" s="13">
        <v>180</v>
      </c>
      <c r="C7" s="53">
        <v>659.18218669024645</v>
      </c>
      <c r="D7" s="53">
        <v>703.56191070383773</v>
      </c>
      <c r="E7" s="10">
        <v>746.092479550196</v>
      </c>
      <c r="F7" s="81">
        <v>788.6230483965544</v>
      </c>
      <c r="G7" s="10">
        <v>818.20953107228195</v>
      </c>
      <c r="H7" s="242">
        <v>856.11721200055786</v>
      </c>
      <c r="I7" s="10">
        <v>895.87404809606664</v>
      </c>
      <c r="J7" s="242">
        <v>933.78172902434255</v>
      </c>
      <c r="K7" s="41">
        <v>982.78434095601619</v>
      </c>
      <c r="L7" s="10">
        <v>1022.5411770515252</v>
      </c>
      <c r="M7" s="10">
        <v>1078.0158320685141</v>
      </c>
      <c r="N7" s="10">
        <v>1117.7726681640231</v>
      </c>
      <c r="O7" s="10">
        <v>1155.6803490922991</v>
      </c>
      <c r="P7" s="10">
        <v>1193.5880300205749</v>
      </c>
      <c r="Q7" s="242">
        <v>1234.2694436997003</v>
      </c>
      <c r="R7" s="53">
        <v>1298.9898745528542</v>
      </c>
      <c r="S7" s="2"/>
      <c r="W7" s="506" t="s">
        <v>491</v>
      </c>
      <c r="X7">
        <f>X6/ 1.135</f>
        <v>87.224669603524234</v>
      </c>
    </row>
    <row r="8" spans="1:27" ht="18.95" customHeight="1">
      <c r="A8" s="833"/>
      <c r="B8" s="5">
        <v>200</v>
      </c>
      <c r="C8" s="52">
        <v>682.29662628065864</v>
      </c>
      <c r="D8" s="52">
        <v>726.67635029424991</v>
      </c>
      <c r="E8" s="15">
        <v>775.67896222592356</v>
      </c>
      <c r="F8" s="82">
        <v>808.96375523611698</v>
      </c>
      <c r="G8" s="15">
        <v>851.49432408247537</v>
      </c>
      <c r="H8" s="256">
        <v>894.02489292883365</v>
      </c>
      <c r="I8" s="15">
        <v>938.40461694242492</v>
      </c>
      <c r="J8" s="256">
        <v>986.48265129048218</v>
      </c>
      <c r="K8" s="44">
        <v>1048.4293493927867</v>
      </c>
      <c r="L8" s="15">
        <v>1088.1861854882957</v>
      </c>
      <c r="M8" s="15">
        <v>1130.7167543346538</v>
      </c>
      <c r="N8" s="15">
        <v>1175.0964783482452</v>
      </c>
      <c r="O8" s="15">
        <v>1219.4762023618364</v>
      </c>
      <c r="P8" s="15">
        <v>1292.5178314675388</v>
      </c>
      <c r="Q8" s="256">
        <v>1335.0484003138972</v>
      </c>
      <c r="R8" s="52">
        <v>1400.6934087506677</v>
      </c>
      <c r="S8" s="2"/>
      <c r="X8">
        <f>X6/Prijsmutaties!L9</f>
        <v>83.863286152764331</v>
      </c>
    </row>
    <row r="9" spans="1:27" ht="18" customHeight="1">
      <c r="A9" s="833"/>
      <c r="B9" s="13">
        <v>220</v>
      </c>
      <c r="C9" s="53">
        <v>718.35515204170144</v>
      </c>
      <c r="D9" s="53">
        <v>771.05607430784119</v>
      </c>
      <c r="E9" s="10">
        <v>808.96375523611698</v>
      </c>
      <c r="F9" s="81">
        <v>853.34347924970825</v>
      </c>
      <c r="G9" s="10">
        <v>900.49693601414913</v>
      </c>
      <c r="H9" s="242">
        <v>948.57497036220639</v>
      </c>
      <c r="I9" s="10">
        <v>1001.2758926283459</v>
      </c>
      <c r="J9" s="242">
        <v>1065.0717458978834</v>
      </c>
      <c r="K9" s="81">
        <v>1113.1497802459407</v>
      </c>
      <c r="L9" s="10">
        <v>1160.3032370103815</v>
      </c>
      <c r="M9" s="10">
        <v>1206.5321161912057</v>
      </c>
      <c r="N9" s="10">
        <v>1254.6101505392628</v>
      </c>
      <c r="O9" s="10">
        <v>1343.3695985664456</v>
      </c>
      <c r="P9" s="10">
        <v>1390.5230553308863</v>
      </c>
      <c r="Q9" s="242">
        <v>1438.6010896789437</v>
      </c>
      <c r="R9" s="18">
        <v>1.5</v>
      </c>
      <c r="S9" s="2"/>
      <c r="X9">
        <f>X8-X7</f>
        <v>-3.3613834507599023</v>
      </c>
    </row>
    <row r="10" spans="1:27" ht="18" customHeight="1">
      <c r="A10" s="833"/>
      <c r="B10" s="5">
        <v>240</v>
      </c>
      <c r="C10" s="52">
        <v>741.46959163211363</v>
      </c>
      <c r="D10" s="52">
        <v>794.17051389825326</v>
      </c>
      <c r="E10" s="15">
        <v>836.70108274461165</v>
      </c>
      <c r="F10" s="82">
        <v>885.70369467628541</v>
      </c>
      <c r="G10" s="15">
        <v>933.78172902434255</v>
      </c>
      <c r="H10" s="256">
        <v>994.80384954303054</v>
      </c>
      <c r="I10" s="15">
        <v>1060.448857979801</v>
      </c>
      <c r="J10" s="256">
        <v>1111.3006250787078</v>
      </c>
      <c r="K10" s="82">
        <v>1160.3032370103815</v>
      </c>
      <c r="L10" s="15">
        <v>1210.2304265256716</v>
      </c>
      <c r="M10" s="15">
        <v>1261.0821936245784</v>
      </c>
      <c r="N10" s="15">
        <v>1316.5568486415675</v>
      </c>
      <c r="O10" s="15">
        <v>1377.5789691602556</v>
      </c>
      <c r="P10" s="8">
        <v>1.5</v>
      </c>
      <c r="Q10" s="286">
        <v>1.5</v>
      </c>
      <c r="R10" s="8">
        <v>1.5</v>
      </c>
      <c r="S10" s="2"/>
    </row>
    <row r="11" spans="1:27" ht="18" customHeight="1">
      <c r="A11" s="833"/>
      <c r="B11" s="13">
        <v>260</v>
      </c>
      <c r="C11" s="53">
        <v>762.73487605529283</v>
      </c>
      <c r="D11" s="53">
        <v>808.96375523611698</v>
      </c>
      <c r="E11" s="10">
        <v>864.4384102531061</v>
      </c>
      <c r="F11" s="81">
        <v>917.13933251924584</v>
      </c>
      <c r="G11" s="10">
        <v>978.16145303793394</v>
      </c>
      <c r="H11" s="242">
        <v>1050.2785045600197</v>
      </c>
      <c r="I11" s="10">
        <v>1101.1302716589264</v>
      </c>
      <c r="J11" s="242">
        <v>1155.6803490922991</v>
      </c>
      <c r="K11" s="81">
        <v>1208.3812713584389</v>
      </c>
      <c r="L11" s="10">
        <v>1301.7636073037038</v>
      </c>
      <c r="M11" s="10">
        <v>1349.8416416517612</v>
      </c>
      <c r="N11" s="10">
        <v>1400.6934087506677</v>
      </c>
      <c r="O11" s="18">
        <v>1.5</v>
      </c>
      <c r="P11" s="18">
        <v>1.5</v>
      </c>
      <c r="Q11" s="247">
        <v>1.5</v>
      </c>
      <c r="R11" s="18">
        <v>1.5</v>
      </c>
      <c r="S11" s="2"/>
      <c r="AA11">
        <v>1.5</v>
      </c>
    </row>
    <row r="12" spans="1:27" ht="18" customHeight="1">
      <c r="A12" s="833"/>
      <c r="B12" s="5">
        <v>280</v>
      </c>
      <c r="C12" s="52">
        <v>785.84931564570491</v>
      </c>
      <c r="D12" s="52">
        <v>830.22903965929629</v>
      </c>
      <c r="E12" s="15">
        <v>889.40200501075128</v>
      </c>
      <c r="F12" s="82">
        <v>944.8766600277404</v>
      </c>
      <c r="G12" s="15">
        <v>1024.390332218758</v>
      </c>
      <c r="H12" s="256">
        <v>1079.8649872357473</v>
      </c>
      <c r="I12" s="15">
        <v>1134.4150646691201</v>
      </c>
      <c r="J12" s="256">
        <v>1191.7388748533419</v>
      </c>
      <c r="K12" s="82">
        <v>1288.8195211330731</v>
      </c>
      <c r="L12" s="15">
        <v>1343.3695985664456</v>
      </c>
      <c r="M12" s="15">
        <v>1398.8442535834347</v>
      </c>
      <c r="N12" s="8">
        <v>1.5</v>
      </c>
      <c r="O12" s="8">
        <v>1.5</v>
      </c>
      <c r="P12" s="8">
        <v>1.5</v>
      </c>
      <c r="Q12" s="286">
        <v>1.5</v>
      </c>
      <c r="R12" s="8">
        <v>1.5</v>
      </c>
      <c r="S12" s="2"/>
    </row>
    <row r="13" spans="1:27" ht="18" customHeight="1">
      <c r="A13" s="833"/>
      <c r="B13" s="5"/>
      <c r="C13" s="52"/>
      <c r="D13" s="52"/>
      <c r="E13" s="15"/>
      <c r="F13" s="82"/>
      <c r="G13" s="15"/>
      <c r="H13" s="256"/>
      <c r="I13" s="15"/>
      <c r="J13" s="256"/>
      <c r="K13" s="82"/>
      <c r="L13" s="15"/>
      <c r="M13" s="15"/>
      <c r="N13" s="8"/>
      <c r="O13" s="8"/>
      <c r="P13" s="8"/>
      <c r="Q13" s="286"/>
      <c r="R13" s="8"/>
      <c r="S13" s="2"/>
    </row>
    <row r="14" spans="1:27" ht="18.95" customHeight="1">
      <c r="A14" s="833"/>
      <c r="B14" s="105" t="s">
        <v>175</v>
      </c>
      <c r="C14" s="43">
        <v>100</v>
      </c>
      <c r="D14" s="43">
        <v>120</v>
      </c>
      <c r="E14" s="13">
        <v>140</v>
      </c>
      <c r="F14" s="141">
        <v>160</v>
      </c>
      <c r="G14" s="13">
        <v>180</v>
      </c>
      <c r="H14" s="234">
        <v>200</v>
      </c>
      <c r="I14" s="13">
        <v>220</v>
      </c>
      <c r="J14" s="219">
        <v>240</v>
      </c>
      <c r="K14" s="76">
        <v>260</v>
      </c>
      <c r="L14" s="13">
        <v>280</v>
      </c>
      <c r="M14" s="13">
        <v>300</v>
      </c>
      <c r="N14" s="13">
        <v>320</v>
      </c>
      <c r="O14" s="13">
        <v>340</v>
      </c>
      <c r="P14" s="13">
        <v>360</v>
      </c>
      <c r="Q14" s="219">
        <v>380</v>
      </c>
      <c r="R14" s="77">
        <v>400</v>
      </c>
      <c r="S14" s="2"/>
    </row>
    <row r="15" spans="1:27" ht="29.1" customHeight="1">
      <c r="A15" s="833"/>
      <c r="B15" s="121" t="s">
        <v>176</v>
      </c>
      <c r="C15" s="45">
        <v>35.038901601830666</v>
      </c>
      <c r="D15" s="45">
        <v>36.546782608695658</v>
      </c>
      <c r="E15" s="15">
        <v>38.054663615560642</v>
      </c>
      <c r="F15" s="44">
        <v>39.562544622425634</v>
      </c>
      <c r="G15" s="15">
        <v>41.070425629290632</v>
      </c>
      <c r="H15" s="160">
        <v>42.578306636155617</v>
      </c>
      <c r="I15" s="15">
        <v>44.086187643020601</v>
      </c>
      <c r="J15" s="160">
        <v>45.5940686498856</v>
      </c>
      <c r="K15" s="44">
        <v>47.101949656750577</v>
      </c>
      <c r="L15" s="15">
        <v>48.609830663615575</v>
      </c>
      <c r="M15" s="15">
        <v>50.11771167048056</v>
      </c>
      <c r="N15" s="15">
        <v>51.625592677345558</v>
      </c>
      <c r="O15" s="15">
        <v>53.133473684210536</v>
      </c>
      <c r="P15" s="15">
        <v>54.641354691075534</v>
      </c>
      <c r="Q15" s="160">
        <v>56.149235697940512</v>
      </c>
      <c r="R15" s="45">
        <v>57.65711670480551</v>
      </c>
      <c r="S15" s="3"/>
    </row>
    <row r="16" spans="1:27" ht="17.100000000000001" customHeight="1">
      <c r="A16" s="837" t="s">
        <v>177</v>
      </c>
      <c r="B16" s="837"/>
      <c r="C16" s="837"/>
      <c r="D16" s="837"/>
      <c r="E16" s="837"/>
      <c r="F16" s="837"/>
      <c r="G16" s="837"/>
      <c r="H16" s="837"/>
      <c r="I16" s="837"/>
      <c r="J16" s="838" t="s">
        <v>178</v>
      </c>
      <c r="K16" s="838"/>
      <c r="L16" s="838"/>
      <c r="M16" s="838"/>
      <c r="N16" s="838"/>
      <c r="O16" s="838"/>
      <c r="P16" s="838"/>
      <c r="Q16" s="838"/>
      <c r="R16" s="838"/>
      <c r="S16" s="2"/>
    </row>
    <row r="17" spans="1:19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6.5" customHeight="1">
      <c r="A18" s="839" t="s">
        <v>7</v>
      </c>
      <c r="B18" s="839"/>
      <c r="C18" s="839"/>
      <c r="D18" s="839"/>
      <c r="E18" s="839"/>
      <c r="F18" s="839"/>
      <c r="G18" s="839"/>
      <c r="H18" s="839"/>
      <c r="I18" s="839"/>
      <c r="J18" s="839" t="s">
        <v>150</v>
      </c>
      <c r="K18" s="839"/>
      <c r="L18" s="839"/>
      <c r="M18" s="839"/>
      <c r="N18" s="839"/>
      <c r="O18" s="839"/>
      <c r="P18" s="839"/>
      <c r="Q18" s="839"/>
      <c r="R18" s="839"/>
      <c r="S18" s="2"/>
    </row>
    <row r="19" spans="1:19" ht="18" customHeight="1">
      <c r="A19" s="539" t="s">
        <v>179</v>
      </c>
      <c r="B19" s="540"/>
      <c r="C19" s="540"/>
      <c r="D19" s="540"/>
      <c r="E19" s="540"/>
      <c r="F19" s="540"/>
      <c r="G19" s="540"/>
      <c r="H19" s="541"/>
      <c r="I19" s="249">
        <v>179</v>
      </c>
      <c r="J19" s="539" t="s">
        <v>180</v>
      </c>
      <c r="K19" s="540"/>
      <c r="L19" s="540"/>
      <c r="M19" s="540"/>
      <c r="N19" s="540"/>
      <c r="O19" s="540"/>
      <c r="P19" s="540"/>
      <c r="Q19" s="541"/>
      <c r="R19" s="249">
        <v>-234</v>
      </c>
    </row>
    <row r="20" spans="1:19" ht="18" customHeight="1">
      <c r="A20" s="542" t="s">
        <v>29</v>
      </c>
      <c r="B20" s="543"/>
      <c r="C20" s="543"/>
      <c r="D20" s="543"/>
      <c r="E20" s="543"/>
      <c r="F20" s="543"/>
      <c r="G20" s="543"/>
      <c r="H20" s="544"/>
      <c r="I20" s="252">
        <v>55.5</v>
      </c>
      <c r="J20" s="542" t="s">
        <v>181</v>
      </c>
      <c r="K20" s="543"/>
      <c r="L20" s="543"/>
      <c r="M20" s="543"/>
      <c r="N20" s="543"/>
      <c r="O20" s="543"/>
      <c r="P20" s="543"/>
      <c r="Q20" s="544"/>
      <c r="R20" s="252">
        <v>-135</v>
      </c>
    </row>
    <row r="21" spans="1:19" ht="18" customHeight="1">
      <c r="A21" s="539" t="s">
        <v>182</v>
      </c>
      <c r="B21" s="540"/>
      <c r="C21" s="540"/>
      <c r="D21" s="540"/>
      <c r="E21" s="540"/>
      <c r="F21" s="540"/>
      <c r="G21" s="540"/>
      <c r="H21" s="541"/>
      <c r="I21" s="249">
        <v>91.5</v>
      </c>
      <c r="J21" s="834" t="s">
        <v>493</v>
      </c>
      <c r="K21" s="835"/>
      <c r="L21" s="835"/>
      <c r="M21" s="835"/>
      <c r="N21" s="835"/>
      <c r="O21" s="835"/>
      <c r="P21" s="835"/>
      <c r="Q21" s="836"/>
      <c r="R21" s="249">
        <v>-90</v>
      </c>
    </row>
    <row r="22" spans="1:19" ht="13.5" customHeight="1">
      <c r="A22" s="840" t="s">
        <v>335</v>
      </c>
      <c r="B22" s="841"/>
      <c r="C22" s="841"/>
      <c r="D22" s="841"/>
      <c r="E22" s="841"/>
      <c r="F22" s="841"/>
      <c r="G22" s="841"/>
      <c r="H22" s="842"/>
      <c r="I22" s="288">
        <v>215</v>
      </c>
      <c r="J22" s="539" t="s">
        <v>183</v>
      </c>
      <c r="K22" s="540"/>
      <c r="L22" s="540"/>
      <c r="M22" s="540"/>
      <c r="N22" s="540"/>
      <c r="O22" s="540"/>
      <c r="P22" s="540"/>
      <c r="Q22" s="541"/>
      <c r="R22" s="2">
        <v>0</v>
      </c>
      <c r="S22" s="2"/>
    </row>
    <row r="23" spans="1:19" ht="12" customHeight="1">
      <c r="A23" s="851" t="s">
        <v>9</v>
      </c>
      <c r="B23" s="852"/>
      <c r="C23" s="852"/>
      <c r="D23" s="852"/>
      <c r="E23" s="852"/>
      <c r="F23" s="852"/>
      <c r="G23" s="852"/>
      <c r="H23" s="853"/>
      <c r="I23" s="289">
        <v>68</v>
      </c>
      <c r="J23" s="837" t="s">
        <v>184</v>
      </c>
      <c r="K23" s="837"/>
      <c r="L23" s="837"/>
      <c r="M23" s="837"/>
      <c r="N23" s="837"/>
      <c r="O23" s="837"/>
      <c r="P23" s="837"/>
      <c r="Q23" s="837"/>
      <c r="R23" s="837"/>
      <c r="S23" s="2"/>
    </row>
    <row r="24" spans="1:19" ht="22.5" customHeight="1">
      <c r="A24" s="693" t="s">
        <v>185</v>
      </c>
      <c r="B24" s="694"/>
      <c r="C24" s="694"/>
      <c r="D24" s="694"/>
      <c r="E24" s="694"/>
      <c r="F24" s="694"/>
      <c r="G24" s="694"/>
      <c r="H24" s="695"/>
      <c r="I24" s="276">
        <v>35</v>
      </c>
      <c r="J24" s="839"/>
      <c r="K24" s="839"/>
      <c r="L24" s="839"/>
      <c r="M24" s="839"/>
      <c r="N24" s="839"/>
      <c r="O24" s="839"/>
      <c r="P24" s="839"/>
      <c r="Q24" s="839"/>
      <c r="R24" s="839"/>
      <c r="S24" s="2"/>
    </row>
    <row r="25" spans="1:19" ht="18" customHeight="1">
      <c r="A25" s="542" t="s">
        <v>186</v>
      </c>
      <c r="B25" s="543"/>
      <c r="C25" s="543"/>
      <c r="D25" s="543"/>
      <c r="E25" s="543"/>
      <c r="F25" s="543"/>
      <c r="G25" s="543"/>
      <c r="H25" s="544"/>
      <c r="I25" s="252">
        <v>17</v>
      </c>
      <c r="J25" s="667"/>
      <c r="K25" s="850"/>
      <c r="L25" s="850"/>
      <c r="M25" s="850"/>
      <c r="N25" s="850"/>
      <c r="O25" s="850"/>
      <c r="P25" s="850"/>
      <c r="Q25" s="850"/>
      <c r="R25" s="668"/>
      <c r="S25" s="2"/>
    </row>
    <row r="26" spans="1:19" ht="18" customHeight="1">
      <c r="A26" s="539" t="s">
        <v>187</v>
      </c>
      <c r="B26" s="540"/>
      <c r="C26" s="540"/>
      <c r="D26" s="540"/>
      <c r="E26" s="540"/>
      <c r="F26" s="540"/>
      <c r="G26" s="540"/>
      <c r="H26" s="541"/>
      <c r="I26" s="249">
        <v>26</v>
      </c>
      <c r="J26" s="629" t="s">
        <v>188</v>
      </c>
      <c r="K26" s="843"/>
      <c r="L26" s="843"/>
      <c r="M26" s="843"/>
      <c r="N26" s="843"/>
      <c r="O26" s="843"/>
      <c r="P26" s="843"/>
      <c r="Q26" s="843"/>
      <c r="R26" s="844"/>
      <c r="S26" s="2"/>
    </row>
    <row r="27" spans="1:19" ht="21.75" customHeight="1">
      <c r="A27" s="848"/>
      <c r="B27" s="604"/>
      <c r="C27" s="604"/>
      <c r="D27" s="604"/>
      <c r="E27" s="604"/>
      <c r="F27" s="604"/>
      <c r="G27" s="604"/>
      <c r="H27" s="849"/>
      <c r="I27" s="290"/>
      <c r="J27" s="845"/>
      <c r="K27" s="846"/>
      <c r="L27" s="846"/>
      <c r="M27" s="846"/>
      <c r="N27" s="846"/>
      <c r="O27" s="846"/>
      <c r="P27" s="846"/>
      <c r="Q27" s="846"/>
      <c r="R27" s="847"/>
      <c r="S27" s="2"/>
    </row>
    <row r="28" spans="1:19" ht="21.75" customHeight="1">
      <c r="A28" s="840"/>
      <c r="B28" s="841"/>
      <c r="C28" s="841"/>
      <c r="D28" s="841"/>
      <c r="E28" s="841"/>
      <c r="F28" s="841"/>
      <c r="G28" s="841"/>
      <c r="H28" s="842"/>
      <c r="I28" s="289"/>
      <c r="J28" s="665" t="s">
        <v>189</v>
      </c>
      <c r="K28" s="816"/>
      <c r="L28" s="816"/>
      <c r="M28" s="816"/>
      <c r="N28" s="816"/>
      <c r="O28" s="816"/>
      <c r="P28" s="816"/>
      <c r="Q28" s="816"/>
      <c r="R28" s="666"/>
      <c r="S28" s="2"/>
    </row>
    <row r="29" spans="1:19" ht="21.6" customHeight="1">
      <c r="A29" s="3"/>
      <c r="B29" s="3"/>
      <c r="C29" s="3"/>
      <c r="D29" s="3"/>
      <c r="E29" s="3"/>
      <c r="F29" s="3"/>
      <c r="G29" s="3"/>
      <c r="H29" s="3"/>
      <c r="I29" s="3"/>
      <c r="J29" s="667"/>
      <c r="K29" s="850"/>
      <c r="L29" s="850"/>
      <c r="M29" s="850"/>
      <c r="N29" s="850"/>
      <c r="O29" s="850"/>
      <c r="P29" s="850"/>
      <c r="Q29" s="850"/>
      <c r="R29" s="668"/>
      <c r="S29" s="3"/>
    </row>
  </sheetData>
  <mergeCells count="23">
    <mergeCell ref="A22:H22"/>
    <mergeCell ref="A26:H26"/>
    <mergeCell ref="J26:R27"/>
    <mergeCell ref="A27:H28"/>
    <mergeCell ref="J28:R29"/>
    <mergeCell ref="J23:R24"/>
    <mergeCell ref="A24:H24"/>
    <mergeCell ref="J25:R25"/>
    <mergeCell ref="A25:H25"/>
    <mergeCell ref="A23:H23"/>
    <mergeCell ref="J22:Q22"/>
    <mergeCell ref="A1:S1"/>
    <mergeCell ref="A2:A15"/>
    <mergeCell ref="A20:H20"/>
    <mergeCell ref="J20:Q20"/>
    <mergeCell ref="A21:H21"/>
    <mergeCell ref="J21:Q21"/>
    <mergeCell ref="A16:I16"/>
    <mergeCell ref="J16:R16"/>
    <mergeCell ref="A18:I18"/>
    <mergeCell ref="J18:R18"/>
    <mergeCell ref="A19:H19"/>
    <mergeCell ref="J19:Q1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Blad31">
    <tabColor rgb="FFFFC000"/>
    <pageSetUpPr fitToPage="1"/>
  </sheetPr>
  <dimension ref="A1:S28"/>
  <sheetViews>
    <sheetView workbookViewId="0">
      <selection sqref="A1:S1"/>
    </sheetView>
  </sheetViews>
  <sheetFormatPr defaultRowHeight="12.75"/>
  <cols>
    <col min="1" max="1" width="3.5" customWidth="1"/>
    <col min="2" max="2" width="10.5" customWidth="1"/>
    <col min="3" max="3" width="6" customWidth="1"/>
    <col min="4" max="4" width="5.83203125" customWidth="1"/>
    <col min="5" max="5" width="6" customWidth="1"/>
    <col min="6" max="6" width="5.83203125" customWidth="1"/>
    <col min="7" max="7" width="6" customWidth="1"/>
    <col min="8" max="8" width="6.1640625" customWidth="1"/>
    <col min="9" max="9" width="6.83203125" customWidth="1"/>
    <col min="10" max="10" width="5.83203125" bestFit="1" customWidth="1"/>
    <col min="11" max="11" width="6.5" customWidth="1"/>
    <col min="12" max="12" width="6.6640625" customWidth="1"/>
    <col min="13" max="14" width="6.5" customWidth="1"/>
    <col min="15" max="15" width="6.6640625" customWidth="1"/>
    <col min="16" max="16" width="6.5" customWidth="1"/>
    <col min="17" max="17" width="5.83203125" bestFit="1" customWidth="1"/>
    <col min="18" max="18" width="6.6640625" customWidth="1"/>
    <col min="19" max="19" width="11.33203125" customWidth="1"/>
  </cols>
  <sheetData>
    <row r="1" spans="1:19" ht="75" customHeight="1">
      <c r="A1" s="803" t="s">
        <v>500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</row>
    <row r="2" spans="1:19" ht="18.95" customHeight="1">
      <c r="A2" s="855" t="s">
        <v>499</v>
      </c>
      <c r="B2" s="5" t="s">
        <v>334</v>
      </c>
      <c r="C2" s="5">
        <v>100</v>
      </c>
      <c r="D2" s="5">
        <v>120</v>
      </c>
      <c r="E2" s="5">
        <v>140</v>
      </c>
      <c r="F2" s="5">
        <v>160</v>
      </c>
      <c r="G2" s="5">
        <v>180</v>
      </c>
      <c r="H2" s="188">
        <v>200</v>
      </c>
      <c r="I2" s="5">
        <v>220</v>
      </c>
      <c r="J2" s="188">
        <v>240</v>
      </c>
      <c r="K2" s="5">
        <v>260</v>
      </c>
      <c r="L2" s="5">
        <v>280</v>
      </c>
      <c r="M2" s="5">
        <v>300</v>
      </c>
      <c r="N2" s="5">
        <v>320</v>
      </c>
      <c r="O2" s="5">
        <v>340</v>
      </c>
      <c r="P2" s="5">
        <v>360</v>
      </c>
      <c r="Q2" s="188">
        <v>380</v>
      </c>
      <c r="R2" s="5">
        <v>400</v>
      </c>
      <c r="S2" s="2"/>
    </row>
    <row r="3" spans="1:19" ht="18" customHeight="1">
      <c r="A3" s="856"/>
      <c r="B3" s="13">
        <v>100</v>
      </c>
      <c r="C3" s="10">
        <f>(('RollBasic (2)'!C3/(1+Korting!$B$3)*(1-Korting!$B$2)*Prijsmutaties!$D$9))</f>
        <v>566.29205329301089</v>
      </c>
      <c r="D3" s="10">
        <f>(('RollBasic (2)'!D3/(1+Korting!$B$3)*(1-Korting!$B$2)*Prijsmutaties!$D$9))</f>
        <v>589.313740962515</v>
      </c>
      <c r="E3" s="10">
        <f>(('RollBasic (2)'!E3/(1+Korting!$B$3)*(1-Korting!$B$2)*Prijsmutaties!$D$9))</f>
        <v>618.7815011794803</v>
      </c>
      <c r="F3" s="10">
        <f>(('RollBasic (2)'!F3/(1+Korting!$B$3)*(1-Korting!$B$2)*Prijsmutaties!$D$9))</f>
        <v>648.2492613964456</v>
      </c>
      <c r="G3" s="10">
        <f>(('RollBasic (2)'!G3/(1+Korting!$B$3)*(1-Korting!$B$2)*Prijsmutaties!$D$9))</f>
        <v>675.8752865998506</v>
      </c>
      <c r="H3" s="10">
        <f>(('RollBasic (2)'!H3/(1+Korting!$B$3)*(1-Korting!$B$2)*Prijsmutaties!$D$9))</f>
        <v>707.1847818303761</v>
      </c>
      <c r="I3" s="10">
        <f>(('RollBasic (2)'!I3/(1+Korting!$B$3)*(1-Korting!$B$2)*Prijsmutaties!$D$9))</f>
        <v>732.04820451344062</v>
      </c>
      <c r="J3" s="10">
        <f>(('RollBasic (2)'!J3/(1+Korting!$B$3)*(1-Korting!$B$2)*Prijsmutaties!$D$9))</f>
        <v>757.83249470328519</v>
      </c>
      <c r="K3" s="10">
        <f>(('RollBasic (2)'!K3/(1+Korting!$B$3)*(1-Korting!$B$2)*Prijsmutaties!$D$9))</f>
        <v>787.30025492025061</v>
      </c>
      <c r="L3" s="10">
        <f>(('RollBasic (2)'!L3/(1+Korting!$B$3)*(1-Korting!$B$2)*Prijsmutaties!$D$9))</f>
        <v>814.9262801236556</v>
      </c>
      <c r="M3" s="10">
        <f>(('RollBasic (2)'!M3/(1+Korting!$B$3)*(1-Korting!$B$2)*Prijsmutaties!$D$9))</f>
        <v>849.91924538130172</v>
      </c>
      <c r="N3" s="10">
        <f>(('RollBasic (2)'!N3/(1+Korting!$B$3)*(1-Korting!$B$2)*Prijsmutaties!$D$9))</f>
        <v>877.54527058470683</v>
      </c>
      <c r="O3" s="10">
        <f>(('RollBasic (2)'!O3/(1+Korting!$B$3)*(1-Korting!$B$2)*Prijsmutaties!$D$9))</f>
        <v>907.01303080167213</v>
      </c>
      <c r="P3" s="10">
        <f>(('RollBasic (2)'!P3/(1+Korting!$B$3)*(1-Korting!$B$2)*Prijsmutaties!$D$9))</f>
        <v>936.48079101863743</v>
      </c>
      <c r="Q3" s="10">
        <f>(('RollBasic (2)'!Q3/(1+Korting!$B$3)*(1-Korting!$B$2)*Prijsmutaties!$D$9))</f>
        <v>964.10681622204231</v>
      </c>
      <c r="R3" s="10">
        <f>(('RollBasic (2)'!R3/(1+Korting!$B$3)*(1-Korting!$B$2)*Prijsmutaties!$D$9))</f>
        <v>1018.4379991220721</v>
      </c>
      <c r="S3" s="2"/>
    </row>
    <row r="4" spans="1:19" ht="18" customHeight="1">
      <c r="A4" s="856"/>
      <c r="B4" s="5">
        <v>120</v>
      </c>
      <c r="C4" s="15">
        <f>(('RollBasic (2)'!C4/(1+Korting!$B$3)*(1-Korting!$B$2)*Prijsmutaties!$D$9))</f>
        <v>585.63027093539438</v>
      </c>
      <c r="D4" s="15">
        <f>(('RollBasic (2)'!D4/(1+Korting!$B$3)*(1-Korting!$B$2)*Prijsmutaties!$D$9))</f>
        <v>618.7815011794803</v>
      </c>
      <c r="E4" s="15">
        <f>(('RollBasic (2)'!E4/(1+Korting!$B$3)*(1-Korting!$B$2)*Prijsmutaties!$D$9))</f>
        <v>648.2492613964456</v>
      </c>
      <c r="F4" s="15">
        <f>(('RollBasic (2)'!F4/(1+Korting!$B$3)*(1-Korting!$B$2)*Prijsmutaties!$D$9))</f>
        <v>679.55875662697133</v>
      </c>
      <c r="G4" s="15">
        <f>(('RollBasic (2)'!G4/(1+Korting!$B$3)*(1-Korting!$B$2)*Prijsmutaties!$D$9))</f>
        <v>713.63085437783718</v>
      </c>
      <c r="H4" s="190">
        <f>(('RollBasic (2)'!H4/(1+Korting!$B$3)*(1-Korting!$B$2)*Prijsmutaties!$D$9))</f>
        <v>743.0986145948026</v>
      </c>
      <c r="I4" s="15">
        <f>(('RollBasic (2)'!I4/(1+Korting!$B$3)*(1-Korting!$B$2)*Prijsmutaties!$D$9))</f>
        <v>776.24984483888852</v>
      </c>
      <c r="J4" s="190">
        <f>(('RollBasic (2)'!J4/(1+Korting!$B$3)*(1-Korting!$B$2)*Prijsmutaties!$D$9))</f>
        <v>805.71760505585382</v>
      </c>
      <c r="K4" s="15">
        <f>(('RollBasic (2)'!K4/(1+Korting!$B$3)*(1-Korting!$B$2)*Prijsmutaties!$D$9))</f>
        <v>846.2357753541811</v>
      </c>
      <c r="L4" s="15">
        <f>(('RollBasic (2)'!L4/(1+Korting!$B$3)*(1-Korting!$B$2)*Prijsmutaties!$D$9))</f>
        <v>877.54527058470683</v>
      </c>
      <c r="M4" s="15">
        <f>(('RollBasic (2)'!M4/(1+Korting!$B$3)*(1-Korting!$B$2)*Prijsmutaties!$D$9))</f>
        <v>885.83307814572822</v>
      </c>
      <c r="N4" s="15">
        <f>(('RollBasic (2)'!N4/(1+Korting!$B$3)*(1-Korting!$B$2)*Prijsmutaties!$D$9))</f>
        <v>915.30083836269364</v>
      </c>
      <c r="O4" s="15">
        <f>(('RollBasic (2)'!O4/(1+Korting!$B$3)*(1-Korting!$B$2)*Prijsmutaties!$D$9))</f>
        <v>944.76859857965894</v>
      </c>
      <c r="P4" s="15">
        <f>(('RollBasic (2)'!P4/(1+Korting!$B$3)*(1-Korting!$B$2)*Prijsmutaties!$D$9))</f>
        <v>972.39462378306371</v>
      </c>
      <c r="Q4" s="190">
        <f>(('RollBasic (2)'!Q4/(1+Korting!$B$3)*(1-Korting!$B$2)*Prijsmutaties!$D$9))</f>
        <v>1001.862384000029</v>
      </c>
      <c r="R4" s="15">
        <f>(('RollBasic (2)'!R4/(1+Korting!$B$3)*(1-Korting!$B$2)*Prijsmutaties!$D$9))</f>
        <v>1054.3518318864985</v>
      </c>
      <c r="S4" s="2"/>
    </row>
    <row r="5" spans="1:19" ht="18" customHeight="1">
      <c r="A5" s="856"/>
      <c r="B5" s="13">
        <v>140</v>
      </c>
      <c r="C5" s="10">
        <f>(('RollBasic (2)'!C5/(1+Korting!$B$3)*(1-Korting!$B$2)*Prijsmutaties!$D$9))</f>
        <v>605.88935608455813</v>
      </c>
      <c r="D5" s="10">
        <f>(('RollBasic (2)'!D5/(1+Korting!$B$3)*(1-Korting!$B$2)*Prijsmutaties!$D$9))</f>
        <v>641.80318884898441</v>
      </c>
      <c r="E5" s="10">
        <f>(('RollBasic (2)'!E5/(1+Korting!$B$3)*(1-Korting!$B$2)*Prijsmutaties!$D$9))</f>
        <v>675.8752865998506</v>
      </c>
      <c r="F5" s="10">
        <f>(('RollBasic (2)'!F5/(1+Korting!$B$3)*(1-Korting!$B$2)*Prijsmutaties!$D$9))</f>
        <v>711.7891193642771</v>
      </c>
      <c r="G5" s="10">
        <f>(('RollBasic (2)'!G5/(1+Korting!$B$3)*(1-Korting!$B$2)*Prijsmutaties!$D$9))</f>
        <v>743.0986145948026</v>
      </c>
      <c r="H5" s="189">
        <f>(('RollBasic (2)'!H5/(1+Korting!$B$3)*(1-Korting!$B$2)*Prijsmutaties!$D$9))</f>
        <v>776.24984483888852</v>
      </c>
      <c r="I5" s="10">
        <f>(('RollBasic (2)'!I5/(1+Korting!$B$3)*(1-Korting!$B$2)*Prijsmutaties!$D$9))</f>
        <v>820.45148516433665</v>
      </c>
      <c r="J5" s="189">
        <f>(('RollBasic (2)'!J5/(1+Korting!$B$3)*(1-Korting!$B$2)*Prijsmutaties!$D$9))</f>
        <v>837.94796779315971</v>
      </c>
      <c r="K5" s="10">
        <f>(('RollBasic (2)'!K5/(1+Korting!$B$3)*(1-Korting!$B$2)*Prijsmutaties!$D$9))</f>
        <v>867.41572801012501</v>
      </c>
      <c r="L5" s="10">
        <f>(('RollBasic (2)'!L5/(1+Korting!$B$3)*(1-Korting!$B$2)*Prijsmutaties!$D$9))</f>
        <v>896.8834882270902</v>
      </c>
      <c r="M5" s="10">
        <f>(('RollBasic (2)'!M5/(1+Korting!$B$3)*(1-Korting!$B$2)*Prijsmutaties!$D$9))</f>
        <v>928.19298345761581</v>
      </c>
      <c r="N5" s="10">
        <f>(('RollBasic (2)'!N5/(1+Korting!$B$3)*(1-Korting!$B$2)*Prijsmutaties!$D$9))</f>
        <v>961.34421370170185</v>
      </c>
      <c r="O5" s="10">
        <f>(('RollBasic (2)'!O5/(1+Korting!$B$3)*(1-Korting!$B$2)*Prijsmutaties!$D$9))</f>
        <v>1001.862384000029</v>
      </c>
      <c r="P5" s="10">
        <f>(('RollBasic (2)'!P5/(1+Korting!$B$3)*(1-Korting!$B$2)*Prijsmutaties!$D$9))</f>
        <v>1035.0136142441152</v>
      </c>
      <c r="Q5" s="189">
        <f>(('RollBasic (2)'!Q5/(1+Korting!$B$3)*(1-Korting!$B$2)*Prijsmutaties!$D$9))</f>
        <v>1069.0857119949812</v>
      </c>
      <c r="R5" s="10">
        <f>(('RollBasic (2)'!R5/(1+Korting!$B$3)*(1-Korting!$B$2)*Prijsmutaties!$D$9))</f>
        <v>1121.5751598814506</v>
      </c>
      <c r="S5" s="2"/>
    </row>
    <row r="6" spans="1:19" ht="18" customHeight="1">
      <c r="A6" s="856"/>
      <c r="B6" s="5">
        <v>160</v>
      </c>
      <c r="C6" s="15">
        <f>(('RollBasic (2)'!C6/(1+Korting!$B$3)*(1-Korting!$B$2)*Prijsmutaties!$D$9))</f>
        <v>631.67364627440259</v>
      </c>
      <c r="D6" s="15">
        <f>(('RollBasic (2)'!D6/(1+Korting!$B$3)*(1-Korting!$B$2)*Prijsmutaties!$D$9))</f>
        <v>669.42921405238928</v>
      </c>
      <c r="E6" s="15">
        <f>(('RollBasic (2)'!E6/(1+Korting!$B$3)*(1-Korting!$B$2)*Prijsmutaties!$D$9))</f>
        <v>707.1847818303761</v>
      </c>
      <c r="F6" s="15">
        <f>(('RollBasic (2)'!F6/(1+Korting!$B$3)*(1-Korting!$B$2)*Prijsmutaties!$D$9))</f>
        <v>743.0986145948026</v>
      </c>
      <c r="G6" s="15">
        <f>(('RollBasic (2)'!G6/(1+Korting!$B$3)*(1-Korting!$B$2)*Prijsmutaties!$D$9))</f>
        <v>779.0124473592291</v>
      </c>
      <c r="H6" s="190">
        <f>(('RollBasic (2)'!H6/(1+Korting!$B$3)*(1-Korting!$B$2)*Prijsmutaties!$D$9))</f>
        <v>826.89755771179784</v>
      </c>
      <c r="I6" s="15">
        <f>(('RollBasic (2)'!I6/(1+Korting!$B$3)*(1-Korting!$B$2)*Prijsmutaties!$D$9))</f>
        <v>844.39404034062079</v>
      </c>
      <c r="J6" s="190">
        <f>(('RollBasic (2)'!J6/(1+Korting!$B$3)*(1-Korting!$B$2)*Prijsmutaties!$D$9))</f>
        <v>877.54527058470683</v>
      </c>
      <c r="K6" s="15">
        <f>(('RollBasic (2)'!K6/(1+Korting!$B$3)*(1-Korting!$B$2)*Prijsmutaties!$D$9))</f>
        <v>913.45910334913322</v>
      </c>
      <c r="L6" s="15">
        <f>(('RollBasic (2)'!L6/(1+Korting!$B$3)*(1-Korting!$B$2)*Prijsmutaties!$D$9))</f>
        <v>949.37293611355972</v>
      </c>
      <c r="M6" s="15">
        <f>(('RollBasic (2)'!M6/(1+Korting!$B$3)*(1-Korting!$B$2)*Prijsmutaties!$D$9))</f>
        <v>993.57457643900761</v>
      </c>
      <c r="N6" s="15">
        <f>(('RollBasic (2)'!N6/(1+Korting!$B$3)*(1-Korting!$B$2)*Prijsmutaties!$D$9))</f>
        <v>1026.7258066830934</v>
      </c>
      <c r="O6" s="15">
        <f>(('RollBasic (2)'!O6/(1+Korting!$B$3)*(1-Korting!$B$2)*Prijsmutaties!$D$9))</f>
        <v>1060.7979044339595</v>
      </c>
      <c r="P6" s="15">
        <f>(('RollBasic (2)'!P6/(1+Korting!$B$3)*(1-Korting!$B$2)*Prijsmutaties!$D$9))</f>
        <v>1115.1290873339894</v>
      </c>
      <c r="Q6" s="190">
        <f>(('RollBasic (2)'!Q6/(1+Korting!$B$3)*(1-Korting!$B$2)*Prijsmutaties!$D$9))</f>
        <v>1151.0429200984161</v>
      </c>
      <c r="R6" s="15">
        <f>(('RollBasic (2)'!R6/(1+Korting!$B$3)*(1-Korting!$B$2)*Prijsmutaties!$D$9))</f>
        <v>1211.820175545907</v>
      </c>
      <c r="S6" s="2"/>
    </row>
    <row r="7" spans="1:19" ht="18" customHeight="1">
      <c r="A7" s="856"/>
      <c r="B7" s="13">
        <v>180</v>
      </c>
      <c r="C7" s="10">
        <f>(('RollBasic (2)'!C7/(1+Korting!$B$3)*(1-Korting!$B$2)*Prijsmutaties!$D$9))</f>
        <v>656.53706895746711</v>
      </c>
      <c r="D7" s="10">
        <f>(('RollBasic (2)'!D7/(1+Korting!$B$3)*(1-Korting!$B$2)*Prijsmutaties!$D$9))</f>
        <v>700.73870928291501</v>
      </c>
      <c r="E7" s="10">
        <f>(('RollBasic (2)'!E7/(1+Korting!$B$3)*(1-Korting!$B$2)*Prijsmutaties!$D$9))</f>
        <v>743.0986145948026</v>
      </c>
      <c r="F7" s="10">
        <f>(('RollBasic (2)'!F7/(1+Korting!$B$3)*(1-Korting!$B$2)*Prijsmutaties!$D$9))</f>
        <v>785.4585199066903</v>
      </c>
      <c r="G7" s="10">
        <f>(('RollBasic (2)'!G7/(1+Korting!$B$3)*(1-Korting!$B$2)*Prijsmutaties!$D$9))</f>
        <v>814.9262801236556</v>
      </c>
      <c r="H7" s="189">
        <f>(('RollBasic (2)'!H7/(1+Korting!$B$3)*(1-Korting!$B$2)*Prijsmutaties!$D$9))</f>
        <v>852.6818479016423</v>
      </c>
      <c r="I7" s="10">
        <f>(('RollBasic (2)'!I7/(1+Korting!$B$3)*(1-Korting!$B$2)*Prijsmutaties!$D$9))</f>
        <v>892.27915069318942</v>
      </c>
      <c r="J7" s="189">
        <f>(('RollBasic (2)'!J7/(1+Korting!$B$3)*(1-Korting!$B$2)*Prijsmutaties!$D$9))</f>
        <v>930.03471847117612</v>
      </c>
      <c r="K7" s="10">
        <f>(('RollBasic (2)'!K7/(1+Korting!$B$3)*(1-Korting!$B$2)*Prijsmutaties!$D$9))</f>
        <v>978.84069633052479</v>
      </c>
      <c r="L7" s="10">
        <f>(('RollBasic (2)'!L7/(1+Korting!$B$3)*(1-Korting!$B$2)*Prijsmutaties!$D$9))</f>
        <v>1018.4379991220721</v>
      </c>
      <c r="M7" s="10">
        <f>(('RollBasic (2)'!M7/(1+Korting!$B$3)*(1-Korting!$B$2)*Prijsmutaties!$D$9))</f>
        <v>1073.6900495288819</v>
      </c>
      <c r="N7" s="10">
        <f>(('RollBasic (2)'!N7/(1+Korting!$B$3)*(1-Korting!$B$2)*Prijsmutaties!$D$9))</f>
        <v>1113.2873523204291</v>
      </c>
      <c r="O7" s="10">
        <f>(('RollBasic (2)'!O7/(1+Korting!$B$3)*(1-Korting!$B$2)*Prijsmutaties!$D$9))</f>
        <v>1151.0429200984161</v>
      </c>
      <c r="P7" s="10">
        <f>(('RollBasic (2)'!P7/(1+Korting!$B$3)*(1-Korting!$B$2)*Prijsmutaties!$D$9))</f>
        <v>1188.7984878764028</v>
      </c>
      <c r="Q7" s="189">
        <f>(('RollBasic (2)'!Q7/(1+Korting!$B$3)*(1-Korting!$B$2)*Prijsmutaties!$D$9))</f>
        <v>1229.31665817473</v>
      </c>
      <c r="R7" s="10">
        <f>(('RollBasic (2)'!R7/(1+Korting!$B$3)*(1-Korting!$B$2)*Prijsmutaties!$D$9))</f>
        <v>1293.7773836493416</v>
      </c>
      <c r="S7" s="2"/>
    </row>
    <row r="8" spans="1:19" ht="18.95" customHeight="1">
      <c r="A8" s="856"/>
      <c r="B8" s="5">
        <v>200</v>
      </c>
      <c r="C8" s="15">
        <f>(('RollBasic (2)'!C8/(1+Korting!$B$3)*(1-Korting!$B$2)*Prijsmutaties!$D$9))</f>
        <v>679.55875662697133</v>
      </c>
      <c r="D8" s="15">
        <f>(('RollBasic (2)'!D8/(1+Korting!$B$3)*(1-Korting!$B$2)*Prijsmutaties!$D$9))</f>
        <v>723.76039695241923</v>
      </c>
      <c r="E8" s="15">
        <f>(('RollBasic (2)'!E8/(1+Korting!$B$3)*(1-Korting!$B$2)*Prijsmutaties!$D$9))</f>
        <v>772.5663748117679</v>
      </c>
      <c r="F8" s="15">
        <f>(('RollBasic (2)'!F8/(1+Korting!$B$3)*(1-Korting!$B$2)*Prijsmutaties!$D$9))</f>
        <v>805.71760505585382</v>
      </c>
      <c r="G8" s="15">
        <f>(('RollBasic (2)'!G8/(1+Korting!$B$3)*(1-Korting!$B$2)*Prijsmutaties!$D$9))</f>
        <v>848.07751036774152</v>
      </c>
      <c r="H8" s="190">
        <f>(('RollBasic (2)'!H8/(1+Korting!$B$3)*(1-Korting!$B$2)*Prijsmutaties!$D$9))</f>
        <v>890.437415679629</v>
      </c>
      <c r="I8" s="15">
        <f>(('RollBasic (2)'!I8/(1+Korting!$B$3)*(1-Korting!$B$2)*Prijsmutaties!$D$9))</f>
        <v>934.6390560050769</v>
      </c>
      <c r="J8" s="190">
        <f>(('RollBasic (2)'!J8/(1+Korting!$B$3)*(1-Korting!$B$2)*Prijsmutaties!$D$9))</f>
        <v>982.52416635764564</v>
      </c>
      <c r="K8" s="15">
        <f>(('RollBasic (2)'!K8/(1+Korting!$B$3)*(1-Korting!$B$2)*Prijsmutaties!$D$9))</f>
        <v>1044.2222893119167</v>
      </c>
      <c r="L8" s="15">
        <f>(('RollBasic (2)'!L8/(1+Korting!$B$3)*(1-Korting!$B$2)*Prijsmutaties!$D$9))</f>
        <v>1083.8195921034639</v>
      </c>
      <c r="M8" s="15">
        <f>(('RollBasic (2)'!M8/(1+Korting!$B$3)*(1-Korting!$B$2)*Prijsmutaties!$D$9))</f>
        <v>1126.1794974153513</v>
      </c>
      <c r="N8" s="15">
        <f>(('RollBasic (2)'!N8/(1+Korting!$B$3)*(1-Korting!$B$2)*Prijsmutaties!$D$9))</f>
        <v>1170.3811377407994</v>
      </c>
      <c r="O8" s="15">
        <f>(('RollBasic (2)'!O8/(1+Korting!$B$3)*(1-Korting!$B$2)*Prijsmutaties!$D$9))</f>
        <v>1214.5827780662471</v>
      </c>
      <c r="P8" s="15">
        <f>(('RollBasic (2)'!P8/(1+Korting!$B$3)*(1-Korting!$B$2)*Prijsmutaties!$D$9))</f>
        <v>1287.3313111018804</v>
      </c>
      <c r="Q8" s="190">
        <f>(('RollBasic (2)'!Q8/(1+Korting!$B$3)*(1-Korting!$B$2)*Prijsmutaties!$D$9))</f>
        <v>1329.691216413768</v>
      </c>
      <c r="R8" s="15">
        <f>(('RollBasic (2)'!R8/(1+Korting!$B$3)*(1-Korting!$B$2)*Prijsmutaties!$D$9))</f>
        <v>1395.0728093951598</v>
      </c>
      <c r="S8" s="2"/>
    </row>
    <row r="9" spans="1:19" ht="18" customHeight="1">
      <c r="A9" s="856"/>
      <c r="B9" s="13">
        <v>220</v>
      </c>
      <c r="C9" s="10">
        <f>(('RollBasic (2)'!C9/(1+Korting!$B$3)*(1-Korting!$B$2)*Prijsmutaties!$D$9))</f>
        <v>715.47258939139772</v>
      </c>
      <c r="D9" s="10">
        <f>(('RollBasic (2)'!D9/(1+Korting!$B$3)*(1-Korting!$B$2)*Prijsmutaties!$D$9))</f>
        <v>767.96203727786713</v>
      </c>
      <c r="E9" s="10">
        <f>(('RollBasic (2)'!E9/(1+Korting!$B$3)*(1-Korting!$B$2)*Prijsmutaties!$D$9))</f>
        <v>805.71760505585382</v>
      </c>
      <c r="F9" s="10">
        <f>(('RollBasic (2)'!F9/(1+Korting!$B$3)*(1-Korting!$B$2)*Prijsmutaties!$D$9))</f>
        <v>849.91924538130172</v>
      </c>
      <c r="G9" s="10">
        <f>(('RollBasic (2)'!G9/(1+Korting!$B$3)*(1-Korting!$B$2)*Prijsmutaties!$D$9))</f>
        <v>896.8834882270902</v>
      </c>
      <c r="H9" s="189">
        <f>(('RollBasic (2)'!H9/(1+Korting!$B$3)*(1-Korting!$B$2)*Prijsmutaties!$D$9))</f>
        <v>944.76859857965894</v>
      </c>
      <c r="I9" s="10">
        <f>(('RollBasic (2)'!I9/(1+Korting!$B$3)*(1-Korting!$B$2)*Prijsmutaties!$D$9))</f>
        <v>997.25804646612823</v>
      </c>
      <c r="J9" s="189">
        <f>(('RollBasic (2)'!J9/(1+Korting!$B$3)*(1-Korting!$B$2)*Prijsmutaties!$D$9))</f>
        <v>1060.7979044339595</v>
      </c>
      <c r="K9" s="10">
        <f>(('RollBasic (2)'!K9/(1+Korting!$B$3)*(1-Korting!$B$2)*Prijsmutaties!$D$9))</f>
        <v>1108.6830147865285</v>
      </c>
      <c r="L9" s="10">
        <f>(('RollBasic (2)'!L9/(1+Korting!$B$3)*(1-Korting!$B$2)*Prijsmutaties!$D$9))</f>
        <v>1155.6472576323167</v>
      </c>
      <c r="M9" s="10">
        <f>(('RollBasic (2)'!M9/(1+Korting!$B$3)*(1-Korting!$B$2)*Prijsmutaties!$D$9))</f>
        <v>1201.6906329713249</v>
      </c>
      <c r="N9" s="10">
        <f>(('RollBasic (2)'!N9/(1+Korting!$B$3)*(1-Korting!$B$2)*Prijsmutaties!$D$9))</f>
        <v>1249.5757433238934</v>
      </c>
      <c r="O9" s="10">
        <f>(('RollBasic (2)'!O9/(1+Korting!$B$3)*(1-Korting!$B$2)*Prijsmutaties!$D$9))</f>
        <v>1337.9790239747897</v>
      </c>
      <c r="P9" s="10">
        <f>(('RollBasic (2)'!P9/(1+Korting!$B$3)*(1-Korting!$B$2)*Prijsmutaties!$D$9))</f>
        <v>1384.9432668205779</v>
      </c>
      <c r="Q9" s="189"/>
      <c r="R9" s="225"/>
      <c r="S9" s="2"/>
    </row>
    <row r="10" spans="1:19" ht="18" customHeight="1">
      <c r="A10" s="856"/>
      <c r="B10" s="5">
        <v>240</v>
      </c>
      <c r="C10" s="15">
        <f>(('RollBasic (2)'!C10/(1+Korting!$B$3)*(1-Korting!$B$2)*Prijsmutaties!$D$9))</f>
        <v>738.49427706090182</v>
      </c>
      <c r="D10" s="15">
        <f>(('RollBasic (2)'!D10/(1+Korting!$B$3)*(1-Korting!$B$2)*Prijsmutaties!$D$9))</f>
        <v>790.98372494737123</v>
      </c>
      <c r="E10" s="15">
        <f>(('RollBasic (2)'!E10/(1+Korting!$B$3)*(1-Korting!$B$2)*Prijsmutaties!$D$9))</f>
        <v>833.34363025925893</v>
      </c>
      <c r="F10" s="15">
        <f>(('RollBasic (2)'!F10/(1+Korting!$B$3)*(1-Korting!$B$2)*Prijsmutaties!$D$9))</f>
        <v>882.14960811860772</v>
      </c>
      <c r="G10" s="15">
        <f>(('RollBasic (2)'!G10/(1+Korting!$B$3)*(1-Korting!$B$2)*Prijsmutaties!$D$9))</f>
        <v>930.03471847117612</v>
      </c>
      <c r="H10" s="190">
        <f>(('RollBasic (2)'!H10/(1+Korting!$B$3)*(1-Korting!$B$2)*Prijsmutaties!$D$9))</f>
        <v>990.81197391866704</v>
      </c>
      <c r="I10" s="15">
        <f>(('RollBasic (2)'!I10/(1+Korting!$B$3)*(1-Korting!$B$2)*Prijsmutaties!$D$9))</f>
        <v>1056.1935669000588</v>
      </c>
      <c r="J10" s="190">
        <f>(('RollBasic (2)'!J10/(1+Korting!$B$3)*(1-Korting!$B$2)*Prijsmutaties!$D$9))</f>
        <v>1106.8412797729679</v>
      </c>
      <c r="K10" s="15">
        <f>(('RollBasic (2)'!K10/(1+Korting!$B$3)*(1-Korting!$B$2)*Prijsmutaties!$D$9))</f>
        <v>1155.6472576323167</v>
      </c>
      <c r="L10" s="15">
        <f>(('RollBasic (2)'!L10/(1+Korting!$B$3)*(1-Korting!$B$2)*Prijsmutaties!$D$9))</f>
        <v>1205.3741029984456</v>
      </c>
      <c r="M10" s="15">
        <f>(('RollBasic (2)'!M10/(1+Korting!$B$3)*(1-Korting!$B$2)*Prijsmutaties!$D$9))</f>
        <v>1256.0218158713549</v>
      </c>
      <c r="N10" s="15">
        <f>(('RollBasic (2)'!N10/(1+Korting!$B$3)*(1-Korting!$B$2)*Prijsmutaties!$D$9))</f>
        <v>1311.2738662781649</v>
      </c>
      <c r="O10" s="15">
        <f>(('RollBasic (2)'!O10/(1+Korting!$B$3)*(1-Korting!$B$2)*Prijsmutaties!$D$9))</f>
        <v>1372.0511217256558</v>
      </c>
      <c r="P10" s="226"/>
      <c r="Q10" s="237"/>
      <c r="R10" s="226"/>
      <c r="S10" s="2"/>
    </row>
    <row r="11" spans="1:19" ht="18" customHeight="1">
      <c r="A11" s="856"/>
      <c r="B11" s="13">
        <v>260</v>
      </c>
      <c r="C11" s="10">
        <f>(('RollBasic (2)'!C11/(1+Korting!$B$3)*(1-Korting!$B$2)*Prijsmutaties!$D$9))</f>
        <v>759.67422971684573</v>
      </c>
      <c r="D11" s="10">
        <f>(('RollBasic (2)'!D11/(1+Korting!$B$3)*(1-Korting!$B$2)*Prijsmutaties!$D$9))</f>
        <v>805.71760505585382</v>
      </c>
      <c r="E11" s="10">
        <f>(('RollBasic (2)'!E11/(1+Korting!$B$3)*(1-Korting!$B$2)*Prijsmutaties!$D$9))</f>
        <v>860.9696554626637</v>
      </c>
      <c r="F11" s="10">
        <f>(('RollBasic (2)'!F11/(1+Korting!$B$3)*(1-Korting!$B$2)*Prijsmutaties!$D$9))</f>
        <v>913.45910334913322</v>
      </c>
      <c r="G11" s="10">
        <f>(('RollBasic (2)'!G11/(1+Korting!$B$3)*(1-Korting!$B$2)*Prijsmutaties!$D$9))</f>
        <v>974.23635879662424</v>
      </c>
      <c r="H11" s="189">
        <f>(('RollBasic (2)'!H11/(1+Korting!$B$3)*(1-Korting!$B$2)*Prijsmutaties!$D$9))</f>
        <v>1046.064024325477</v>
      </c>
      <c r="I11" s="10">
        <f>(('RollBasic (2)'!I11/(1+Korting!$B$3)*(1-Korting!$B$2)*Prijsmutaties!$D$9))</f>
        <v>1096.7117371983861</v>
      </c>
      <c r="J11" s="189">
        <f>(('RollBasic (2)'!J11/(1+Korting!$B$3)*(1-Korting!$B$2)*Prijsmutaties!$D$9))</f>
        <v>1151.0429200984161</v>
      </c>
      <c r="K11" s="10">
        <f>(('RollBasic (2)'!K11/(1+Korting!$B$3)*(1-Korting!$B$2)*Prijsmutaties!$D$9))</f>
        <v>1203.5323679848855</v>
      </c>
      <c r="L11" s="10">
        <f>(('RollBasic (2)'!L11/(1+Korting!$B$3)*(1-Korting!$B$2)*Prijsmutaties!$D$9))</f>
        <v>1296.5399861696819</v>
      </c>
      <c r="M11" s="10">
        <f>(('RollBasic (2)'!M11/(1+Korting!$B$3)*(1-Korting!$B$2)*Prijsmutaties!$D$9))</f>
        <v>1344.4250965222507</v>
      </c>
      <c r="N11" s="10"/>
      <c r="O11" s="225"/>
      <c r="P11" s="225"/>
      <c r="Q11" s="236"/>
      <c r="R11" s="225"/>
      <c r="S11" s="2"/>
    </row>
    <row r="12" spans="1:19" ht="18" customHeight="1">
      <c r="A12" s="856"/>
      <c r="B12" s="5">
        <v>280</v>
      </c>
      <c r="C12" s="15">
        <f>(('RollBasic (2)'!C12/(1+Korting!$B$3)*(1-Korting!$B$2)*Prijsmutaties!$D$9))</f>
        <v>782.69591738634972</v>
      </c>
      <c r="D12" s="15">
        <f>(('RollBasic (2)'!D12/(1+Korting!$B$3)*(1-Korting!$B$2)*Prijsmutaties!$D$9))</f>
        <v>826.89755771179784</v>
      </c>
      <c r="E12" s="15">
        <f>(('RollBasic (2)'!E12/(1+Korting!$B$3)*(1-Korting!$B$2)*Prijsmutaties!$D$9))</f>
        <v>885.83307814572822</v>
      </c>
      <c r="F12" s="15">
        <f>(('RollBasic (2)'!F12/(1+Korting!$B$3)*(1-Korting!$B$2)*Prijsmutaties!$D$9))</f>
        <v>941.08512855253821</v>
      </c>
      <c r="G12" s="15">
        <f>(('RollBasic (2)'!G12/(1+Korting!$B$3)*(1-Korting!$B$2)*Prijsmutaties!$D$9))</f>
        <v>1020.2797341356323</v>
      </c>
      <c r="H12" s="190">
        <f>(('RollBasic (2)'!H12/(1+Korting!$B$3)*(1-Korting!$B$2)*Prijsmutaties!$D$9))</f>
        <v>1075.5317845424424</v>
      </c>
      <c r="I12" s="15">
        <f>(('RollBasic (2)'!I12/(1+Korting!$B$3)*(1-Korting!$B$2)*Prijsmutaties!$D$9))</f>
        <v>1129.8629674424722</v>
      </c>
      <c r="J12" s="190">
        <f>(('RollBasic (2)'!J12/(1+Korting!$B$3)*(1-Korting!$B$2)*Prijsmutaties!$D$9))</f>
        <v>1186.9567528628424</v>
      </c>
      <c r="K12" s="15">
        <f>(('RollBasic (2)'!K12/(1+Korting!$B$3)*(1-Korting!$B$2)*Prijsmutaties!$D$9))</f>
        <v>1283.6478410747598</v>
      </c>
      <c r="L12" s="15">
        <f>(('RollBasic (2)'!L12/(1+Korting!$B$3)*(1-Korting!$B$2)*Prijsmutaties!$D$9))</f>
        <v>1337.9790239747897</v>
      </c>
      <c r="M12" s="15"/>
      <c r="N12" s="226"/>
      <c r="O12" s="226"/>
      <c r="P12" s="226"/>
      <c r="Q12" s="237"/>
      <c r="R12" s="226"/>
      <c r="S12" s="2"/>
    </row>
    <row r="13" spans="1:19" ht="18" customHeight="1">
      <c r="A13" s="856"/>
      <c r="B13" s="5"/>
      <c r="C13" s="15"/>
      <c r="D13" s="15"/>
      <c r="E13" s="15"/>
      <c r="F13" s="15"/>
      <c r="G13" s="15"/>
      <c r="H13" s="190"/>
      <c r="I13" s="15"/>
      <c r="J13" s="190"/>
      <c r="K13" s="15"/>
      <c r="L13" s="15"/>
      <c r="M13" s="15"/>
      <c r="N13" s="226"/>
      <c r="O13" s="226"/>
      <c r="P13" s="226"/>
      <c r="Q13" s="237"/>
      <c r="R13" s="226"/>
      <c r="S13" s="2"/>
    </row>
    <row r="14" spans="1:19" ht="17.100000000000001" customHeight="1">
      <c r="A14" s="854" t="s">
        <v>400</v>
      </c>
      <c r="B14" s="837"/>
      <c r="C14" s="837"/>
      <c r="D14" s="837"/>
      <c r="E14" s="837"/>
      <c r="F14" s="837"/>
      <c r="G14" s="837"/>
      <c r="H14" s="837"/>
      <c r="I14" s="837"/>
      <c r="J14" s="857" t="s">
        <v>401</v>
      </c>
      <c r="K14" s="838"/>
      <c r="L14" s="838"/>
      <c r="M14" s="838"/>
      <c r="N14" s="838"/>
      <c r="O14" s="838"/>
      <c r="P14" s="838"/>
      <c r="Q14" s="838"/>
      <c r="R14" s="838"/>
    </row>
    <row r="15" spans="1:19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9" ht="16.5" customHeight="1">
      <c r="A16" s="839" t="s">
        <v>7</v>
      </c>
      <c r="B16" s="839"/>
      <c r="C16" s="839"/>
      <c r="D16" s="839"/>
      <c r="E16" s="839"/>
      <c r="F16" s="839"/>
      <c r="G16" s="839"/>
      <c r="H16" s="839"/>
      <c r="I16" s="839"/>
      <c r="J16" s="839" t="s">
        <v>150</v>
      </c>
      <c r="K16" s="839"/>
      <c r="L16" s="839"/>
      <c r="M16" s="839"/>
      <c r="N16" s="839"/>
      <c r="O16" s="839"/>
      <c r="P16" s="839"/>
      <c r="Q16" s="839"/>
      <c r="R16" s="839"/>
    </row>
    <row r="17" spans="1:18" ht="20.25" customHeight="1">
      <c r="A17" s="840" t="s">
        <v>335</v>
      </c>
      <c r="B17" s="841"/>
      <c r="C17" s="841"/>
      <c r="D17" s="841"/>
      <c r="E17" s="841"/>
      <c r="F17" s="841"/>
      <c r="G17" s="841"/>
      <c r="H17" s="842"/>
      <c r="I17" s="189">
        <f>(('RollBasic (2)'!I22/(1+Korting!$B$3)*(1-Korting!$B$2)*Prijsmutaties!$M$9))</f>
        <v>197.73470352272724</v>
      </c>
      <c r="J17" s="605" t="s">
        <v>494</v>
      </c>
      <c r="K17" s="540"/>
      <c r="L17" s="540"/>
      <c r="M17" s="540"/>
      <c r="N17" s="540"/>
      <c r="O17" s="540"/>
      <c r="P17" s="540"/>
      <c r="Q17" s="541"/>
      <c r="R17" s="190">
        <f>(('RollBasic (2)'!R19/(1+Korting!$B$3)*(1-Korting!$B$2)*Prijsmutaties!$M$9))</f>
        <v>-215.20893313636358</v>
      </c>
    </row>
    <row r="18" spans="1:18" ht="20.25" customHeight="1">
      <c r="A18" s="539" t="s">
        <v>9</v>
      </c>
      <c r="B18" s="540"/>
      <c r="C18" s="540"/>
      <c r="D18" s="540"/>
      <c r="E18" s="540"/>
      <c r="F18" s="540"/>
      <c r="G18" s="540"/>
      <c r="H18" s="541"/>
      <c r="I18" s="190">
        <f>(('RollBasic (2)'!I23/(1+Korting!$B$3)*(1-Korting!$B$2)*Prijsmutaties!$M$9))</f>
        <v>62.53934809090908</v>
      </c>
      <c r="J18" s="574" t="s">
        <v>495</v>
      </c>
      <c r="K18" s="543"/>
      <c r="L18" s="543"/>
      <c r="M18" s="543"/>
      <c r="N18" s="543"/>
      <c r="O18" s="543"/>
      <c r="P18" s="543"/>
      <c r="Q18" s="544"/>
      <c r="R18" s="189">
        <f>(('RollBasic (2)'!R20/(1+Korting!$B$3)*(1-Korting!$B$2)*Prijsmutaties!$M$9))</f>
        <v>-124.15899988636362</v>
      </c>
    </row>
    <row r="19" spans="1:18" ht="20.25" customHeight="1">
      <c r="A19" s="542" t="s">
        <v>402</v>
      </c>
      <c r="B19" s="543"/>
      <c r="C19" s="543"/>
      <c r="D19" s="543"/>
      <c r="E19" s="543"/>
      <c r="F19" s="543"/>
      <c r="G19" s="543"/>
      <c r="H19" s="544"/>
      <c r="I19" s="189">
        <f>(('RollBasic (2)'!I19/(1+Korting!$B$3)*(1-Korting!$B$2)*Prijsmutaties!$M$9))</f>
        <v>164.62563688636362</v>
      </c>
      <c r="J19" s="834" t="s">
        <v>493</v>
      </c>
      <c r="K19" s="835"/>
      <c r="L19" s="835"/>
      <c r="M19" s="835"/>
      <c r="N19" s="835"/>
      <c r="O19" s="835"/>
      <c r="P19" s="835"/>
      <c r="Q19" s="836"/>
      <c r="R19" s="190">
        <f>(('RollBasic (2)'!R21/(1+Korting!$B$3)*(1-Korting!$B$2)*Prijsmutaties!$M$9))</f>
        <v>-82.772666590909068</v>
      </c>
    </row>
    <row r="20" spans="1:18" ht="20.25" customHeight="1">
      <c r="A20" s="539" t="s">
        <v>29</v>
      </c>
      <c r="B20" s="540"/>
      <c r="C20" s="540"/>
      <c r="D20" s="540"/>
      <c r="E20" s="540"/>
      <c r="F20" s="540"/>
      <c r="G20" s="540"/>
      <c r="H20" s="541"/>
      <c r="I20" s="190">
        <f>(('RollBasic (2)'!I20/(1+Korting!$B$3)*(1-Korting!$B$2)*Prijsmutaties!$M$9))</f>
        <v>51.043144397727268</v>
      </c>
      <c r="J20" s="574" t="s">
        <v>492</v>
      </c>
      <c r="K20" s="543"/>
      <c r="L20" s="543"/>
      <c r="M20" s="543"/>
      <c r="N20" s="543"/>
      <c r="O20" s="543"/>
      <c r="P20" s="543"/>
      <c r="Q20" s="544"/>
      <c r="R20" s="189">
        <f>(('RollBasic (2)'!R22/(1+Korting!$B$3)*(1-Korting!$B$2)*Prijsmutaties!$M$9))</f>
        <v>0</v>
      </c>
    </row>
    <row r="21" spans="1:18" ht="20.25" customHeight="1">
      <c r="A21" s="542" t="s">
        <v>403</v>
      </c>
      <c r="B21" s="543"/>
      <c r="C21" s="543"/>
      <c r="D21" s="543"/>
      <c r="E21" s="543"/>
      <c r="F21" s="543"/>
      <c r="G21" s="543"/>
      <c r="H21" s="544"/>
      <c r="I21" s="189">
        <v>0</v>
      </c>
    </row>
    <row r="22" spans="1:18" ht="20.25" customHeight="1">
      <c r="A22" s="539" t="s">
        <v>186</v>
      </c>
      <c r="B22" s="540"/>
      <c r="C22" s="540"/>
      <c r="D22" s="540"/>
      <c r="E22" s="540"/>
      <c r="F22" s="540"/>
      <c r="G22" s="540"/>
      <c r="H22" s="541"/>
      <c r="I22" s="190">
        <f>(('RollBasic (2)'!I25/(1+Korting!$B$3)*(1-Korting!$B$2)*Prijsmutaties!$M$9))</f>
        <v>15.63483702272727</v>
      </c>
      <c r="J22" s="854" t="s">
        <v>498</v>
      </c>
      <c r="K22" s="837"/>
      <c r="L22" s="837"/>
      <c r="M22" s="837"/>
      <c r="N22" s="837"/>
      <c r="O22" s="837"/>
      <c r="P22" s="837"/>
      <c r="Q22" s="837"/>
      <c r="R22" s="837"/>
    </row>
    <row r="23" spans="1:18" ht="20.25" customHeight="1">
      <c r="A23" s="840" t="s">
        <v>187</v>
      </c>
      <c r="B23" s="841"/>
      <c r="C23" s="841"/>
      <c r="D23" s="841"/>
      <c r="E23" s="841"/>
      <c r="F23" s="841"/>
      <c r="G23" s="841"/>
      <c r="H23" s="842"/>
      <c r="I23" s="189">
        <f>(('RollBasic (2)'!I26/(1+Korting!$B$3)*(1-Korting!$B$2)*Prijsmutaties!$M$9))</f>
        <v>23.912103681818177</v>
      </c>
      <c r="J23" s="839"/>
      <c r="K23" s="839"/>
      <c r="L23" s="839"/>
      <c r="M23" s="839"/>
      <c r="N23" s="839"/>
      <c r="O23" s="839"/>
      <c r="P23" s="839"/>
      <c r="Q23" s="839"/>
      <c r="R23" s="839"/>
    </row>
    <row r="24" spans="1:18" ht="20.25" customHeight="1">
      <c r="A24" s="539"/>
      <c r="B24" s="540"/>
      <c r="C24" s="540"/>
      <c r="D24" s="540"/>
      <c r="E24" s="540"/>
      <c r="F24" s="540"/>
      <c r="G24" s="540"/>
      <c r="H24" s="540"/>
      <c r="I24" s="541"/>
      <c r="J24" s="858" t="s">
        <v>496</v>
      </c>
      <c r="K24" s="859"/>
      <c r="L24" s="859"/>
      <c r="M24" s="859"/>
      <c r="N24" s="859"/>
      <c r="O24" s="859"/>
      <c r="P24" s="859"/>
      <c r="Q24" s="859"/>
      <c r="R24" s="860"/>
    </row>
    <row r="25" spans="1:18" ht="36.75" customHeight="1">
      <c r="A25" s="3"/>
      <c r="B25" s="3"/>
      <c r="C25" s="3"/>
      <c r="D25" s="3"/>
      <c r="E25" s="3"/>
      <c r="F25" s="3"/>
      <c r="G25" s="3"/>
      <c r="H25" s="3"/>
      <c r="I25" s="3"/>
      <c r="J25" s="629" t="str">
        <f>CONCATENATE("Stap 2: Trek € ",MROUND(((143.5/(1+Korting!$B$3)*(1-Korting!$B$2)*Prijsmutaties!$M$9)),1)," af van de totaalprijs van deze 2 rolluiken")</f>
        <v>Stap 2: Trek € 132 af van de totaalprijs van deze 2 rolluiken</v>
      </c>
      <c r="K25" s="843"/>
      <c r="L25" s="843"/>
      <c r="M25" s="843"/>
      <c r="N25" s="843"/>
      <c r="O25" s="843"/>
      <c r="P25" s="843"/>
      <c r="Q25" s="843"/>
      <c r="R25" s="844"/>
    </row>
    <row r="26" spans="1:18" ht="16.5" customHeight="1">
      <c r="A26" s="3"/>
      <c r="B26" s="3"/>
      <c r="C26" s="3"/>
      <c r="D26" s="3"/>
      <c r="E26" s="3"/>
      <c r="F26" s="3"/>
      <c r="G26" s="3"/>
      <c r="H26" s="3"/>
      <c r="I26" s="3"/>
      <c r="J26" s="845"/>
      <c r="K26" s="846"/>
      <c r="L26" s="846"/>
      <c r="M26" s="846"/>
      <c r="N26" s="846"/>
      <c r="O26" s="846"/>
      <c r="P26" s="846"/>
      <c r="Q26" s="846"/>
      <c r="R26" s="847"/>
    </row>
    <row r="27" spans="1:18" ht="21.6" customHeight="1">
      <c r="J27" s="634" t="s">
        <v>497</v>
      </c>
      <c r="K27" s="816"/>
      <c r="L27" s="816"/>
      <c r="M27" s="816"/>
      <c r="N27" s="816"/>
      <c r="O27" s="816"/>
      <c r="P27" s="816"/>
      <c r="Q27" s="816"/>
      <c r="R27" s="666"/>
    </row>
    <row r="28" spans="1:18">
      <c r="J28" s="667"/>
      <c r="K28" s="850"/>
      <c r="L28" s="850"/>
      <c r="M28" s="850"/>
      <c r="N28" s="850"/>
      <c r="O28" s="850"/>
      <c r="P28" s="850"/>
      <c r="Q28" s="850"/>
      <c r="R28" s="668"/>
    </row>
  </sheetData>
  <sheetProtection algorithmName="SHA-512" hashValue="CI3eoGtmv1ekd/hfVevOF9SjmUj1DtVEj3Rd8tHaI0NYcmZuk8pzgJMlnZMM9ma9X1bo/L3BfFJcBgKB9Wdxjw==" saltValue="zu5xYK8/QPYCkwIglcSH5Q==" spinCount="100000" sheet="1" objects="1" scenarios="1"/>
  <mergeCells count="22">
    <mergeCell ref="A18:H18"/>
    <mergeCell ref="A21:H21"/>
    <mergeCell ref="J24:R24"/>
    <mergeCell ref="A22:H22"/>
    <mergeCell ref="A24:I24"/>
    <mergeCell ref="A23:H23"/>
    <mergeCell ref="J20:Q20"/>
    <mergeCell ref="J25:R26"/>
    <mergeCell ref="J27:R28"/>
    <mergeCell ref="J22:R23"/>
    <mergeCell ref="A1:S1"/>
    <mergeCell ref="A2:A13"/>
    <mergeCell ref="A20:H20"/>
    <mergeCell ref="J18:Q18"/>
    <mergeCell ref="J19:Q19"/>
    <mergeCell ref="A14:I14"/>
    <mergeCell ref="J14:R14"/>
    <mergeCell ref="A16:I16"/>
    <mergeCell ref="J16:R16"/>
    <mergeCell ref="A19:H19"/>
    <mergeCell ref="J17:Q17"/>
    <mergeCell ref="A17:H17"/>
  </mergeCells>
  <pageMargins left="0.70866141732283472" right="0.70866141732283472" top="0.74803149606299213" bottom="0.74803149606299213" header="0.31496062992125984" footer="0.31496062992125984"/>
  <pageSetup paperSize="9" scale="78" orientation="portrait" r:id="rId1"/>
  <headerFooter>
    <oddFooter>&amp;L&amp;D&amp;C&amp;F
Tabblad &amp;A&amp;RInkoopprijslijst excl. BTW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D27D-22C0-4009-B021-22BA07BCE9E9}">
  <sheetPr codeName="Blad32">
    <tabColor rgb="FFFFC000"/>
  </sheetPr>
  <dimension ref="A1:T31"/>
  <sheetViews>
    <sheetView workbookViewId="0">
      <selection activeCell="C3" sqref="C3:M16"/>
    </sheetView>
  </sheetViews>
  <sheetFormatPr defaultRowHeight="12.75"/>
  <cols>
    <col min="1" max="1" width="4.83203125" customWidth="1"/>
    <col min="2" max="2" width="8.5" customWidth="1"/>
    <col min="3" max="3" width="8.1640625" customWidth="1"/>
    <col min="4" max="5" width="8.5" customWidth="1"/>
    <col min="6" max="6" width="6.83203125" customWidth="1"/>
    <col min="7" max="7" width="8" customWidth="1"/>
    <col min="8" max="8" width="6.1640625" bestFit="1" customWidth="1"/>
    <col min="9" max="9" width="8.1640625" customWidth="1"/>
    <col min="10" max="12" width="8.5" customWidth="1"/>
    <col min="13" max="13" width="5.83203125" customWidth="1"/>
    <col min="14" max="14" width="8.5" customWidth="1"/>
    <col min="15" max="15" width="11.1640625" customWidth="1"/>
  </cols>
  <sheetData>
    <row r="1" spans="1:20" ht="53.25" customHeight="1">
      <c r="A1" s="537" t="s">
        <v>190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</row>
    <row r="2" spans="1:20" ht="18.95" customHeight="1">
      <c r="A2" s="856" t="s">
        <v>173</v>
      </c>
      <c r="B2" s="142" t="s">
        <v>35</v>
      </c>
      <c r="C2" s="39">
        <v>100</v>
      </c>
      <c r="D2" s="5">
        <v>120</v>
      </c>
      <c r="E2" s="40">
        <v>140</v>
      </c>
      <c r="F2" s="159">
        <v>160</v>
      </c>
      <c r="G2" s="5">
        <v>180</v>
      </c>
      <c r="H2" s="159">
        <v>200</v>
      </c>
      <c r="I2" s="40">
        <v>220</v>
      </c>
      <c r="J2" s="40">
        <v>240</v>
      </c>
      <c r="K2" s="5">
        <v>260</v>
      </c>
      <c r="L2" s="5">
        <v>280</v>
      </c>
      <c r="M2" s="159">
        <v>300</v>
      </c>
      <c r="N2" s="8"/>
      <c r="O2" s="2"/>
    </row>
    <row r="3" spans="1:20" ht="18" customHeight="1">
      <c r="A3" s="856"/>
      <c r="B3" s="76">
        <v>100</v>
      </c>
      <c r="C3" s="41">
        <v>544.95914390541873</v>
      </c>
      <c r="D3" s="10">
        <v>567.14900591221431</v>
      </c>
      <c r="E3" s="42">
        <v>593.96175583709237</v>
      </c>
      <c r="F3" s="242">
        <v>624.47281609643642</v>
      </c>
      <c r="G3" s="10">
        <v>649.43641085408149</v>
      </c>
      <c r="H3" s="242">
        <v>681.79662628065864</v>
      </c>
      <c r="I3" s="42">
        <v>706.76022103830371</v>
      </c>
      <c r="J3" s="42">
        <v>730.79923821233228</v>
      </c>
      <c r="K3" s="10">
        <v>759.46114330444334</v>
      </c>
      <c r="L3" s="10">
        <v>784.42473806208841</v>
      </c>
      <c r="M3" s="242">
        <v>821.40784140674782</v>
      </c>
      <c r="N3" s="77">
        <v>100</v>
      </c>
      <c r="O3" s="2"/>
    </row>
    <row r="4" spans="1:20" ht="18" customHeight="1">
      <c r="A4" s="856"/>
      <c r="B4" s="39">
        <v>120</v>
      </c>
      <c r="C4" s="44">
        <v>563.45069557774843</v>
      </c>
      <c r="D4" s="15">
        <v>593.96175583709237</v>
      </c>
      <c r="E4" s="45">
        <v>624.47281609643642</v>
      </c>
      <c r="F4" s="256">
        <v>655.90845393939696</v>
      </c>
      <c r="G4" s="15">
        <v>688.26866936597401</v>
      </c>
      <c r="H4" s="256">
        <v>715.08141929085207</v>
      </c>
      <c r="I4" s="45">
        <v>749.29078988466199</v>
      </c>
      <c r="J4" s="45">
        <v>777.95269497677305</v>
      </c>
      <c r="K4" s="15">
        <v>816.78495348866545</v>
      </c>
      <c r="L4" s="15">
        <v>848.220591331626</v>
      </c>
      <c r="M4" s="256">
        <v>853.76805683332486</v>
      </c>
      <c r="N4" s="40">
        <v>120</v>
      </c>
      <c r="O4" s="2"/>
    </row>
    <row r="5" spans="1:20" ht="18" customHeight="1">
      <c r="A5" s="856"/>
      <c r="B5" s="76">
        <v>140</v>
      </c>
      <c r="C5" s="41">
        <v>583.79140241731113</v>
      </c>
      <c r="D5" s="10">
        <v>618.92535059473755</v>
      </c>
      <c r="E5" s="42">
        <v>649.43641085408149</v>
      </c>
      <c r="F5" s="242">
        <v>686.4195141987409</v>
      </c>
      <c r="G5" s="10">
        <v>715.08141929085207</v>
      </c>
      <c r="H5" s="242">
        <v>749.29078988466199</v>
      </c>
      <c r="I5" s="42">
        <v>790.89678114740377</v>
      </c>
      <c r="J5" s="42">
        <v>806.6146000688841</v>
      </c>
      <c r="K5" s="10">
        <v>838.05023791184453</v>
      </c>
      <c r="L5" s="10">
        <v>866.7121430039557</v>
      </c>
      <c r="M5" s="242">
        <v>897.22320326329964</v>
      </c>
      <c r="N5" s="77">
        <v>140</v>
      </c>
      <c r="O5" s="2"/>
      <c r="T5" t="s">
        <v>489</v>
      </c>
    </row>
    <row r="6" spans="1:20" ht="18" customHeight="1">
      <c r="A6" s="856"/>
      <c r="B6" s="39">
        <v>160</v>
      </c>
      <c r="C6" s="44">
        <v>608.7549971749562</v>
      </c>
      <c r="D6" s="15">
        <v>642.96436776876612</v>
      </c>
      <c r="E6" s="45">
        <v>681.79662628065864</v>
      </c>
      <c r="F6" s="256">
        <v>715.08141929085207</v>
      </c>
      <c r="G6" s="15">
        <v>752.06452263551148</v>
      </c>
      <c r="H6" s="256">
        <v>798.29340181633575</v>
      </c>
      <c r="I6" s="45">
        <v>813.08664315419946</v>
      </c>
      <c r="J6" s="45">
        <v>848.220591331626</v>
      </c>
      <c r="K6" s="15">
        <v>880.58080675820293</v>
      </c>
      <c r="L6" s="15">
        <v>917.56391010286234</v>
      </c>
      <c r="M6" s="256">
        <v>958.24532378198774</v>
      </c>
      <c r="N6" s="40">
        <v>160</v>
      </c>
      <c r="O6" s="2"/>
      <c r="S6" t="s">
        <v>490</v>
      </c>
      <c r="T6">
        <v>99</v>
      </c>
    </row>
    <row r="7" spans="1:20" ht="18.95" customHeight="1">
      <c r="A7" s="856"/>
      <c r="B7" s="76">
        <v>180</v>
      </c>
      <c r="C7" s="41">
        <v>632.79401434898489</v>
      </c>
      <c r="D7" s="10">
        <v>676.24916077895966</v>
      </c>
      <c r="E7" s="42">
        <v>715.08141929085207</v>
      </c>
      <c r="F7" s="242">
        <v>757.61198813721035</v>
      </c>
      <c r="G7" s="10">
        <v>784.42473806208841</v>
      </c>
      <c r="H7" s="242">
        <v>823.25699657398081</v>
      </c>
      <c r="I7" s="42">
        <v>860.24009991864023</v>
      </c>
      <c r="J7" s="42">
        <v>899.07235843053263</v>
      </c>
      <c r="K7" s="10">
        <v>946.22581519497339</v>
      </c>
      <c r="L7" s="10">
        <v>985.0580737068658</v>
      </c>
      <c r="M7" s="242">
        <v>1037.7589959730053</v>
      </c>
      <c r="N7" s="77">
        <v>180</v>
      </c>
      <c r="O7" s="2"/>
      <c r="S7" s="506" t="s">
        <v>491</v>
      </c>
      <c r="T7">
        <f>T6/Prijsmutaties!L9+1</f>
        <v>84.863286152764331</v>
      </c>
    </row>
    <row r="8" spans="1:20" ht="18" customHeight="1">
      <c r="A8" s="856"/>
      <c r="B8" s="39">
        <v>200</v>
      </c>
      <c r="C8" s="44">
        <v>655.90845393939696</v>
      </c>
      <c r="D8" s="15">
        <v>698.43902278575524</v>
      </c>
      <c r="E8" s="45">
        <v>745.592479550196</v>
      </c>
      <c r="F8" s="256">
        <v>777.95269497677305</v>
      </c>
      <c r="G8" s="15">
        <v>819.55868623951483</v>
      </c>
      <c r="H8" s="256">
        <v>858.39094475140723</v>
      </c>
      <c r="I8" s="45">
        <v>902.77066876499862</v>
      </c>
      <c r="J8" s="45">
        <v>949.92412552943927</v>
      </c>
      <c r="K8" s="15">
        <v>1009.0970908808944</v>
      </c>
      <c r="L8" s="15">
        <v>1048.853926976403</v>
      </c>
      <c r="M8" s="256">
        <v>1089.5353406555284</v>
      </c>
      <c r="N8" s="40">
        <v>200</v>
      </c>
      <c r="O8" s="2"/>
    </row>
    <row r="9" spans="1:20" ht="18" customHeight="1">
      <c r="A9" s="856"/>
      <c r="B9" s="76">
        <v>220</v>
      </c>
      <c r="C9" s="41">
        <v>690.11782453320689</v>
      </c>
      <c r="D9" s="10">
        <v>739.12043646488064</v>
      </c>
      <c r="E9" s="42">
        <v>777.95269497677305</v>
      </c>
      <c r="F9" s="242">
        <v>821.40784140674782</v>
      </c>
      <c r="G9" s="10">
        <v>866.7121430039557</v>
      </c>
      <c r="H9" s="242">
        <v>912.94102218477985</v>
      </c>
      <c r="I9" s="42">
        <v>964.7173668673031</v>
      </c>
      <c r="J9" s="42">
        <v>1023.8903322187581</v>
      </c>
      <c r="K9" s="10">
        <v>1071.0437889831987</v>
      </c>
      <c r="L9" s="10">
        <v>1118.1972457476397</v>
      </c>
      <c r="M9" s="247"/>
      <c r="N9" s="77">
        <v>220</v>
      </c>
      <c r="O9" s="2"/>
    </row>
    <row r="10" spans="1:20" ht="18" customHeight="1">
      <c r="A10" s="856"/>
      <c r="B10" s="39">
        <v>240</v>
      </c>
      <c r="C10" s="44">
        <v>713.23226412361907</v>
      </c>
      <c r="D10" s="15">
        <v>764.08403122252571</v>
      </c>
      <c r="E10" s="45">
        <v>804.76544490165111</v>
      </c>
      <c r="F10" s="256">
        <v>851.91890166609187</v>
      </c>
      <c r="G10" s="15">
        <v>899.07235843053263</v>
      </c>
      <c r="H10" s="256">
        <v>956.39616861475463</v>
      </c>
      <c r="I10" s="45">
        <v>1022.0411770515252</v>
      </c>
      <c r="J10" s="45">
        <v>1069.1946338159657</v>
      </c>
      <c r="K10" s="8"/>
      <c r="L10" s="8"/>
      <c r="M10" s="286"/>
      <c r="N10" s="40">
        <v>240</v>
      </c>
      <c r="O10" s="2"/>
    </row>
    <row r="11" spans="1:20" ht="18" customHeight="1">
      <c r="A11" s="856"/>
      <c r="B11" s="76">
        <v>260</v>
      </c>
      <c r="C11" s="41">
        <v>733.57297096318177</v>
      </c>
      <c r="D11" s="10">
        <v>777.95269497677305</v>
      </c>
      <c r="E11" s="42">
        <v>831.57819482652917</v>
      </c>
      <c r="F11" s="242">
        <v>880.58080675820293</v>
      </c>
      <c r="G11" s="10">
        <v>941.60292727689091</v>
      </c>
      <c r="H11" s="242">
        <v>1011.8708236317437</v>
      </c>
      <c r="I11" s="42">
        <v>1060.8734355634174</v>
      </c>
      <c r="J11" s="18"/>
      <c r="K11" s="18"/>
      <c r="L11" s="18"/>
      <c r="M11" s="247"/>
      <c r="N11" s="77">
        <v>260</v>
      </c>
      <c r="O11" s="2"/>
    </row>
    <row r="12" spans="1:20" ht="18.95" customHeight="1">
      <c r="A12" s="856"/>
      <c r="B12" s="39">
        <v>280</v>
      </c>
      <c r="C12" s="44">
        <v>755.76283296997747</v>
      </c>
      <c r="D12" s="15">
        <v>798.29340181633575</v>
      </c>
      <c r="E12" s="45">
        <v>853.76805683332486</v>
      </c>
      <c r="F12" s="256">
        <v>909.24271185031398</v>
      </c>
      <c r="G12" s="15">
        <v>986.90722887409868</v>
      </c>
      <c r="H12" s="256">
        <v>1040.5327287238549</v>
      </c>
      <c r="I12" s="45">
        <v>1093.2336509899944</v>
      </c>
      <c r="J12" s="8"/>
      <c r="K12" s="8"/>
      <c r="L12" s="8"/>
      <c r="M12" s="286"/>
      <c r="N12" s="40">
        <v>280</v>
      </c>
      <c r="O12" s="2"/>
    </row>
    <row r="13" spans="1:20" ht="18" customHeight="1">
      <c r="A13" s="856"/>
      <c r="B13" s="76">
        <v>300</v>
      </c>
      <c r="C13" s="41">
        <v>776.10353980954005</v>
      </c>
      <c r="D13" s="10">
        <v>819.55868623951483</v>
      </c>
      <c r="E13" s="42">
        <v>878.73165159096993</v>
      </c>
      <c r="F13" s="242">
        <v>937.90461694242492</v>
      </c>
      <c r="G13" s="10">
        <v>1034.0606856385393</v>
      </c>
      <c r="H13" s="242">
        <v>1066.4209010651164</v>
      </c>
      <c r="I13" s="18"/>
      <c r="J13" s="18"/>
      <c r="K13" s="18"/>
      <c r="L13" s="18"/>
      <c r="M13" s="247"/>
      <c r="N13" s="77">
        <v>300</v>
      </c>
      <c r="O13" s="2"/>
    </row>
    <row r="14" spans="1:20" ht="18" customHeight="1">
      <c r="A14" s="856"/>
      <c r="B14" s="39">
        <v>320</v>
      </c>
      <c r="C14" s="44">
        <v>798.29340181633575</v>
      </c>
      <c r="D14" s="15">
        <v>838.05023791184453</v>
      </c>
      <c r="E14" s="45">
        <v>902.77066876499862</v>
      </c>
      <c r="F14" s="256">
        <v>966.56652203453609</v>
      </c>
      <c r="G14" s="15">
        <v>1079.3649872357473</v>
      </c>
      <c r="H14" s="286"/>
      <c r="I14" s="8"/>
      <c r="J14" s="8"/>
      <c r="K14" s="8"/>
      <c r="L14" s="8"/>
      <c r="M14" s="286"/>
      <c r="N14" s="40">
        <v>320</v>
      </c>
      <c r="O14" s="2"/>
    </row>
    <row r="15" spans="1:20" ht="18" customHeight="1">
      <c r="A15" s="856"/>
      <c r="B15" s="76">
        <v>340</v>
      </c>
      <c r="C15" s="41">
        <v>821.40784140674782</v>
      </c>
      <c r="D15" s="10">
        <v>855.61721200055786</v>
      </c>
      <c r="E15" s="42">
        <v>925.88510835541069</v>
      </c>
      <c r="F15" s="242">
        <v>993.37927195941404</v>
      </c>
      <c r="G15" s="10">
        <v>1123.7447112493385</v>
      </c>
      <c r="H15" s="247"/>
      <c r="I15" s="18"/>
      <c r="J15" s="18"/>
      <c r="K15" s="18"/>
      <c r="L15" s="18"/>
      <c r="M15" s="247"/>
      <c r="N15" s="77">
        <v>340</v>
      </c>
      <c r="O15" s="2"/>
    </row>
    <row r="16" spans="1:20" ht="18" customHeight="1">
      <c r="A16" s="856"/>
      <c r="B16" s="39">
        <v>350</v>
      </c>
      <c r="C16" s="44">
        <v>841.74854824631052</v>
      </c>
      <c r="D16" s="15">
        <v>876.88249642373694</v>
      </c>
      <c r="E16" s="45">
        <v>949.92412552943927</v>
      </c>
      <c r="F16" s="256">
        <v>1022.0411770515252</v>
      </c>
      <c r="G16" s="8"/>
      <c r="H16" s="286"/>
      <c r="I16" s="8"/>
      <c r="J16" s="8"/>
      <c r="K16" s="8"/>
      <c r="L16" s="8"/>
      <c r="M16" s="286"/>
      <c r="N16" s="40">
        <v>350</v>
      </c>
      <c r="O16" s="2"/>
    </row>
    <row r="17" spans="1:15" ht="17.850000000000001" customHeight="1">
      <c r="A17" s="837" t="s">
        <v>177</v>
      </c>
      <c r="B17" s="837"/>
      <c r="C17" s="837"/>
      <c r="D17" s="837"/>
      <c r="E17" s="837"/>
      <c r="F17" s="837"/>
      <c r="G17" s="837"/>
      <c r="H17" s="857" t="s">
        <v>272</v>
      </c>
      <c r="I17" s="838"/>
      <c r="J17" s="838"/>
      <c r="K17" s="838"/>
      <c r="L17" s="838"/>
      <c r="M17" s="838"/>
      <c r="N17" s="838"/>
    </row>
    <row r="18" spans="1:15" ht="19.7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5" ht="16.5" customHeight="1">
      <c r="A19" s="839" t="s">
        <v>7</v>
      </c>
      <c r="B19" s="839"/>
      <c r="C19" s="839"/>
      <c r="D19" s="839"/>
      <c r="E19" s="839"/>
      <c r="F19" s="839"/>
      <c r="G19" s="839"/>
      <c r="H19" s="839" t="s">
        <v>150</v>
      </c>
      <c r="I19" s="839"/>
      <c r="J19" s="839"/>
      <c r="K19" s="839"/>
      <c r="L19" s="839"/>
      <c r="M19" s="839"/>
      <c r="N19" s="839"/>
    </row>
    <row r="20" spans="1:15" ht="18" customHeight="1">
      <c r="A20" s="539" t="s">
        <v>179</v>
      </c>
      <c r="B20" s="540"/>
      <c r="C20" s="540"/>
      <c r="D20" s="540"/>
      <c r="E20" s="540"/>
      <c r="F20" s="541"/>
      <c r="G20" s="249">
        <v>179</v>
      </c>
      <c r="H20" s="539" t="s">
        <v>180</v>
      </c>
      <c r="I20" s="540"/>
      <c r="J20" s="540"/>
      <c r="K20" s="540"/>
      <c r="L20" s="540"/>
      <c r="M20" s="540"/>
      <c r="N20" s="249">
        <v>-234</v>
      </c>
    </row>
    <row r="21" spans="1:15" ht="18" customHeight="1">
      <c r="A21" s="542" t="s">
        <v>191</v>
      </c>
      <c r="B21" s="543"/>
      <c r="C21" s="543"/>
      <c r="D21" s="543"/>
      <c r="E21" s="543"/>
      <c r="F21" s="544"/>
      <c r="G21" s="252">
        <v>55.5</v>
      </c>
      <c r="H21" s="542" t="s">
        <v>181</v>
      </c>
      <c r="I21" s="543"/>
      <c r="J21" s="543"/>
      <c r="K21" s="543"/>
      <c r="L21" s="543"/>
      <c r="M21" s="543"/>
      <c r="N21" s="252">
        <v>-135</v>
      </c>
    </row>
    <row r="22" spans="1:15" ht="18.95" customHeight="1">
      <c r="A22" s="539" t="s">
        <v>182</v>
      </c>
      <c r="B22" s="540"/>
      <c r="C22" s="540"/>
      <c r="D22" s="540"/>
      <c r="E22" s="540"/>
      <c r="F22" s="541"/>
      <c r="G22" s="249">
        <v>91.5</v>
      </c>
      <c r="H22" s="605" t="s">
        <v>493</v>
      </c>
      <c r="I22" s="540"/>
      <c r="J22" s="540"/>
      <c r="K22" s="540"/>
      <c r="L22" s="540"/>
      <c r="M22" s="540"/>
      <c r="N22" s="291">
        <v>-90</v>
      </c>
    </row>
    <row r="23" spans="1:15" ht="18.95" customHeight="1">
      <c r="A23" s="829" t="s">
        <v>335</v>
      </c>
      <c r="B23" s="830"/>
      <c r="C23" s="830"/>
      <c r="D23" s="830"/>
      <c r="E23" s="830"/>
      <c r="F23" s="830"/>
      <c r="G23" s="399">
        <v>215</v>
      </c>
      <c r="H23" s="539" t="s">
        <v>183</v>
      </c>
      <c r="I23" s="540"/>
      <c r="J23" s="540"/>
      <c r="K23" s="540"/>
      <c r="L23" s="540"/>
      <c r="M23" s="540"/>
      <c r="N23" s="400">
        <v>0</v>
      </c>
    </row>
    <row r="24" spans="1:15" ht="18" customHeight="1">
      <c r="A24" s="542" t="s">
        <v>9</v>
      </c>
      <c r="B24" s="543"/>
      <c r="C24" s="543"/>
      <c r="D24" s="543"/>
      <c r="E24" s="543"/>
      <c r="F24" s="544"/>
      <c r="G24" s="252">
        <v>68</v>
      </c>
      <c r="H24" s="2"/>
      <c r="I24" s="2"/>
      <c r="J24" s="2"/>
      <c r="K24" s="2"/>
      <c r="L24" s="2"/>
      <c r="M24" s="2"/>
      <c r="N24" s="2"/>
      <c r="O24" s="2"/>
    </row>
    <row r="25" spans="1:15" ht="18" customHeight="1">
      <c r="A25" s="539" t="s">
        <v>185</v>
      </c>
      <c r="B25" s="540"/>
      <c r="C25" s="540"/>
      <c r="D25" s="540"/>
      <c r="E25" s="540"/>
      <c r="F25" s="541"/>
      <c r="G25" s="249">
        <v>35</v>
      </c>
      <c r="H25" s="2"/>
      <c r="I25" s="2"/>
      <c r="J25" s="2"/>
      <c r="K25" s="2"/>
      <c r="L25" s="2"/>
      <c r="M25" s="2"/>
      <c r="N25" s="2"/>
      <c r="O25" s="2"/>
    </row>
    <row r="26" spans="1:15" ht="18" customHeight="1">
      <c r="A26" s="542" t="s">
        <v>186</v>
      </c>
      <c r="B26" s="543"/>
      <c r="C26" s="543"/>
      <c r="D26" s="543"/>
      <c r="E26" s="543"/>
      <c r="F26" s="544"/>
      <c r="G26" s="252">
        <v>17</v>
      </c>
      <c r="H26" s="2"/>
      <c r="I26" s="2"/>
      <c r="J26" s="2"/>
      <c r="K26" s="2"/>
      <c r="L26" s="2"/>
      <c r="M26" s="2"/>
      <c r="N26" s="2"/>
      <c r="O26" s="2"/>
    </row>
    <row r="27" spans="1:15" ht="18.95" customHeight="1">
      <c r="A27" s="539" t="s">
        <v>187</v>
      </c>
      <c r="B27" s="540"/>
      <c r="C27" s="540"/>
      <c r="D27" s="540"/>
      <c r="E27" s="540"/>
      <c r="F27" s="541"/>
      <c r="G27" s="249">
        <v>26</v>
      </c>
      <c r="H27" s="2"/>
      <c r="I27" s="2"/>
      <c r="J27" s="2"/>
      <c r="K27" s="2"/>
      <c r="L27" s="2"/>
      <c r="M27" s="2"/>
      <c r="N27" s="2"/>
      <c r="O27" s="2"/>
    </row>
    <row r="28" spans="1:15" ht="17.850000000000001" customHeight="1">
      <c r="A28" s="542"/>
      <c r="B28" s="543"/>
      <c r="C28" s="543"/>
      <c r="D28" s="543"/>
      <c r="E28" s="543"/>
      <c r="F28" s="544"/>
      <c r="G28" s="252"/>
      <c r="H28" s="2"/>
      <c r="I28" s="2"/>
      <c r="J28" s="2"/>
      <c r="K28" s="2"/>
      <c r="L28" s="2"/>
      <c r="M28" s="2"/>
      <c r="N28" s="2"/>
      <c r="O28" s="2"/>
    </row>
    <row r="29" spans="1:15" ht="5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9.75" customHeight="1">
      <c r="A30" s="861"/>
      <c r="B30" s="861"/>
      <c r="C30" s="861"/>
      <c r="D30" s="861"/>
      <c r="E30" s="861"/>
      <c r="F30" s="861"/>
      <c r="G30" s="861"/>
      <c r="H30" s="861"/>
      <c r="I30" s="861"/>
      <c r="J30" s="861"/>
      <c r="K30" s="2"/>
      <c r="L30" s="2"/>
      <c r="M30" s="2"/>
      <c r="N30" s="2"/>
      <c r="O30" s="2"/>
    </row>
    <row r="31" spans="1:15" ht="5.25" customHeight="1">
      <c r="A31" s="861"/>
      <c r="B31" s="861"/>
      <c r="C31" s="861"/>
      <c r="D31" s="861"/>
      <c r="E31" s="861"/>
      <c r="F31" s="861"/>
      <c r="G31" s="861"/>
      <c r="H31" s="861"/>
      <c r="I31" s="861"/>
      <c r="J31" s="861"/>
      <c r="K31" s="2"/>
      <c r="L31" s="2"/>
      <c r="M31" s="2"/>
      <c r="N31" s="2"/>
      <c r="O31" s="2"/>
    </row>
  </sheetData>
  <mergeCells count="20">
    <mergeCell ref="H23:M23"/>
    <mergeCell ref="A23:F23"/>
    <mergeCell ref="A27:F27"/>
    <mergeCell ref="A28:F28"/>
    <mergeCell ref="A30:J31"/>
    <mergeCell ref="A24:F24"/>
    <mergeCell ref="A25:F25"/>
    <mergeCell ref="A26:F26"/>
    <mergeCell ref="A1:O1"/>
    <mergeCell ref="A2:A16"/>
    <mergeCell ref="A21:F21"/>
    <mergeCell ref="H21:M21"/>
    <mergeCell ref="A22:F22"/>
    <mergeCell ref="H22:M22"/>
    <mergeCell ref="A17:G17"/>
    <mergeCell ref="H17:N17"/>
    <mergeCell ref="A19:G19"/>
    <mergeCell ref="H19:N19"/>
    <mergeCell ref="A20:F20"/>
    <mergeCell ref="H20:M20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Blad33">
    <tabColor rgb="FFFFC000"/>
    <pageSetUpPr fitToPage="1"/>
  </sheetPr>
  <dimension ref="A1:P31"/>
  <sheetViews>
    <sheetView workbookViewId="0">
      <selection sqref="A1:O1"/>
    </sheetView>
  </sheetViews>
  <sheetFormatPr defaultRowHeight="12.75"/>
  <cols>
    <col min="1" max="1" width="4.83203125" customWidth="1"/>
    <col min="2" max="2" width="8.5" customWidth="1"/>
    <col min="3" max="3" width="8.1640625" customWidth="1"/>
    <col min="4" max="5" width="8.5" customWidth="1"/>
    <col min="6" max="6" width="6.83203125" customWidth="1"/>
    <col min="7" max="7" width="8" customWidth="1"/>
    <col min="8" max="8" width="6.1640625" bestFit="1" customWidth="1"/>
    <col min="9" max="9" width="8.1640625" customWidth="1"/>
    <col min="10" max="12" width="8.5" customWidth="1"/>
    <col min="13" max="13" width="6.1640625" bestFit="1" customWidth="1"/>
    <col min="14" max="14" width="8.5" customWidth="1"/>
    <col min="15" max="15" width="11.1640625" customWidth="1"/>
  </cols>
  <sheetData>
    <row r="1" spans="1:15" ht="50.1" customHeight="1">
      <c r="A1" s="767" t="s">
        <v>504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</row>
    <row r="2" spans="1:15" ht="18.95" customHeight="1">
      <c r="A2" s="855" t="s">
        <v>499</v>
      </c>
      <c r="B2" s="5" t="s">
        <v>334</v>
      </c>
      <c r="C2" s="5">
        <v>100</v>
      </c>
      <c r="D2" s="5">
        <v>120</v>
      </c>
      <c r="E2" s="5">
        <v>140</v>
      </c>
      <c r="F2" s="188">
        <v>160</v>
      </c>
      <c r="G2" s="5">
        <v>180</v>
      </c>
      <c r="H2" s="188">
        <v>200</v>
      </c>
      <c r="I2" s="5">
        <v>220</v>
      </c>
      <c r="J2" s="5">
        <v>240</v>
      </c>
      <c r="K2" s="5">
        <v>260</v>
      </c>
      <c r="L2" s="5">
        <v>280</v>
      </c>
      <c r="M2" s="188">
        <v>300</v>
      </c>
      <c r="N2" s="8"/>
      <c r="O2" s="2"/>
    </row>
    <row r="3" spans="1:15" ht="18" customHeight="1">
      <c r="A3" s="856"/>
      <c r="B3" s="13">
        <v>100</v>
      </c>
      <c r="C3" s="10">
        <f>(('Rollbasic XS (2)'!C3/(1+Korting!$B$3)*(1-Korting!$B$2)*Prijsmutaties!$D$9))</f>
        <v>542.77237198668388</v>
      </c>
      <c r="D3" s="10">
        <f>(('Rollbasic XS (2)'!D3/(1+Korting!$B$3)*(1-Korting!$B$2)*Prijsmutaties!$D$9))</f>
        <v>564.87319214940771</v>
      </c>
      <c r="E3" s="10">
        <f>(('Rollbasic XS (2)'!E3/(1+Korting!$B$3)*(1-Korting!$B$2)*Prijsmutaties!$D$9))</f>
        <v>591.57834984603255</v>
      </c>
      <c r="F3" s="10">
        <f>(('Rollbasic XS (2)'!F3/(1+Korting!$B$3)*(1-Korting!$B$2)*Prijsmutaties!$D$9))</f>
        <v>621.96697756977801</v>
      </c>
      <c r="G3" s="10">
        <f>(('Rollbasic XS (2)'!G3/(1+Korting!$B$3)*(1-Korting!$B$2)*Prijsmutaties!$D$9))</f>
        <v>646.83040025284254</v>
      </c>
      <c r="H3" s="10">
        <f>(('Rollbasic XS (2)'!H3/(1+Korting!$B$3)*(1-Korting!$B$2)*Prijsmutaties!$D$9))</f>
        <v>679.06076299014842</v>
      </c>
      <c r="I3" s="10">
        <f>(('Rollbasic XS (2)'!I3/(1+Korting!$B$3)*(1-Korting!$B$2)*Prijsmutaties!$D$9))</f>
        <v>703.92418567321283</v>
      </c>
      <c r="J3" s="10">
        <f>(('Rollbasic XS (2)'!J3/(1+Korting!$B$3)*(1-Korting!$B$2)*Prijsmutaties!$D$9))</f>
        <v>727.86674084949709</v>
      </c>
      <c r="K3" s="10">
        <f>(('Rollbasic XS (2)'!K3/(1+Korting!$B$3)*(1-Korting!$B$2)*Prijsmutaties!$D$9))</f>
        <v>756.41363355968235</v>
      </c>
      <c r="L3" s="10">
        <f>(('Rollbasic XS (2)'!L3/(1+Korting!$B$3)*(1-Korting!$B$2)*Prijsmutaties!$D$9))</f>
        <v>781.27705624274665</v>
      </c>
      <c r="M3" s="10">
        <f>(('Rollbasic XS (2)'!M3/(1+Korting!$B$3)*(1-Korting!$B$2)*Prijsmutaties!$D$9))</f>
        <v>818.11175651395331</v>
      </c>
      <c r="N3" s="13">
        <v>100</v>
      </c>
      <c r="O3" s="2"/>
    </row>
    <row r="4" spans="1:15" ht="18" customHeight="1">
      <c r="A4" s="856"/>
      <c r="B4" s="5">
        <v>120</v>
      </c>
      <c r="C4" s="15">
        <f>(('Rollbasic XS (2)'!C4/(1+Korting!$B$3)*(1-Korting!$B$2)*Prijsmutaties!$D$9))</f>
        <v>561.18972212228721</v>
      </c>
      <c r="D4" s="15">
        <f>(('Rollbasic XS (2)'!D4/(1+Korting!$B$3)*(1-Korting!$B$2)*Prijsmutaties!$D$9))</f>
        <v>591.57834984603255</v>
      </c>
      <c r="E4" s="15">
        <f>(('Rollbasic XS (2)'!E4/(1+Korting!$B$3)*(1-Korting!$B$2)*Prijsmutaties!$D$9))</f>
        <v>621.96697756977801</v>
      </c>
      <c r="F4" s="190">
        <f>(('Rollbasic XS (2)'!F4/(1+Korting!$B$3)*(1-Korting!$B$2)*Prijsmutaties!$D$9))</f>
        <v>653.27647280030374</v>
      </c>
      <c r="G4" s="15">
        <f>(('Rollbasic XS (2)'!G4/(1+Korting!$B$3)*(1-Korting!$B$2)*Prijsmutaties!$D$9))</f>
        <v>685.50683553760962</v>
      </c>
      <c r="H4" s="190">
        <f>(('Rollbasic XS (2)'!H4/(1+Korting!$B$3)*(1-Korting!$B$2)*Prijsmutaties!$D$9))</f>
        <v>712.21199323423446</v>
      </c>
      <c r="I4" s="15">
        <f>(('Rollbasic XS (2)'!I4/(1+Korting!$B$3)*(1-Korting!$B$2)*Prijsmutaties!$D$9))</f>
        <v>746.28409098510042</v>
      </c>
      <c r="J4" s="15">
        <f>(('Rollbasic XS (2)'!J4/(1+Korting!$B$3)*(1-Korting!$B$2)*Prijsmutaties!$D$9))</f>
        <v>774.83098369528557</v>
      </c>
      <c r="K4" s="15">
        <f>(('Rollbasic XS (2)'!K4/(1+Korting!$B$3)*(1-Korting!$B$2)*Prijsmutaties!$D$9))</f>
        <v>813.50741898005253</v>
      </c>
      <c r="L4" s="15">
        <f>(('Rollbasic XS (2)'!L4/(1+Korting!$B$3)*(1-Korting!$B$2)*Prijsmutaties!$D$9))</f>
        <v>844.81691421057815</v>
      </c>
      <c r="M4" s="190">
        <f>(('Rollbasic XS (2)'!M4/(1+Korting!$B$3)*(1-Korting!$B$2)*Prijsmutaties!$D$9))</f>
        <v>850.34211925125908</v>
      </c>
      <c r="N4" s="5">
        <v>120</v>
      </c>
      <c r="O4" s="2"/>
    </row>
    <row r="5" spans="1:15" ht="18" customHeight="1">
      <c r="A5" s="856"/>
      <c r="B5" s="13">
        <v>140</v>
      </c>
      <c r="C5" s="10">
        <f>(('Rollbasic XS (2)'!C5/(1+Korting!$B$3)*(1-Korting!$B$2)*Prijsmutaties!$D$9))</f>
        <v>581.44880727145085</v>
      </c>
      <c r="D5" s="10">
        <f>(('Rollbasic XS (2)'!D5/(1+Korting!$B$3)*(1-Korting!$B$2)*Prijsmutaties!$D$9))</f>
        <v>616.44177252909719</v>
      </c>
      <c r="E5" s="10">
        <f>(('Rollbasic XS (2)'!E5/(1+Korting!$B$3)*(1-Korting!$B$2)*Prijsmutaties!$D$9))</f>
        <v>646.83040025284254</v>
      </c>
      <c r="F5" s="189">
        <f>(('Rollbasic XS (2)'!F5/(1+Korting!$B$3)*(1-Korting!$B$2)*Prijsmutaties!$D$9))</f>
        <v>683.66510052404919</v>
      </c>
      <c r="G5" s="10">
        <f>(('Rollbasic XS (2)'!G5/(1+Korting!$B$3)*(1-Korting!$B$2)*Prijsmutaties!$D$9))</f>
        <v>712.21199323423446</v>
      </c>
      <c r="H5" s="189">
        <f>(('Rollbasic XS (2)'!H5/(1+Korting!$B$3)*(1-Korting!$B$2)*Prijsmutaties!$D$9))</f>
        <v>746.28409098510042</v>
      </c>
      <c r="I5" s="10">
        <f>(('Rollbasic XS (2)'!I5/(1+Korting!$B$3)*(1-Korting!$B$2)*Prijsmutaties!$D$9))</f>
        <v>787.72312879020774</v>
      </c>
      <c r="J5" s="10">
        <f>(('Rollbasic XS (2)'!J5/(1+Korting!$B$3)*(1-Korting!$B$2)*Prijsmutaties!$D$9))</f>
        <v>803.37787640547072</v>
      </c>
      <c r="K5" s="10">
        <f>(('Rollbasic XS (2)'!K5/(1+Korting!$B$3)*(1-Korting!$B$2)*Prijsmutaties!$D$9))</f>
        <v>834.68737163599633</v>
      </c>
      <c r="L5" s="10">
        <f>(('Rollbasic XS (2)'!L5/(1+Korting!$B$3)*(1-Korting!$B$2)*Prijsmutaties!$D$9))</f>
        <v>863.23426434618159</v>
      </c>
      <c r="M5" s="189">
        <f>(('Rollbasic XS (2)'!M5/(1+Korting!$B$3)*(1-Korting!$B$2)*Prijsmutaties!$D$9))</f>
        <v>893.62289206992682</v>
      </c>
      <c r="N5" s="13">
        <v>140</v>
      </c>
      <c r="O5" s="2"/>
    </row>
    <row r="6" spans="1:15" ht="18" customHeight="1">
      <c r="A6" s="856"/>
      <c r="B6" s="5">
        <v>160</v>
      </c>
      <c r="C6" s="15">
        <f>(('Rollbasic XS (2)'!C6/(1+Korting!$B$3)*(1-Korting!$B$2)*Prijsmutaties!$D$9))</f>
        <v>606.31222995451526</v>
      </c>
      <c r="D6" s="15">
        <f>(('Rollbasic XS (2)'!D6/(1+Korting!$B$3)*(1-Korting!$B$2)*Prijsmutaties!$D$9))</f>
        <v>640.38432770538145</v>
      </c>
      <c r="E6" s="15">
        <f>(('Rollbasic XS (2)'!E6/(1+Korting!$B$3)*(1-Korting!$B$2)*Prijsmutaties!$D$9))</f>
        <v>679.06076299014842</v>
      </c>
      <c r="F6" s="190">
        <f>(('Rollbasic XS (2)'!F6/(1+Korting!$B$3)*(1-Korting!$B$2)*Prijsmutaties!$D$9))</f>
        <v>712.21199323423446</v>
      </c>
      <c r="G6" s="15">
        <f>(('Rollbasic XS (2)'!G6/(1+Korting!$B$3)*(1-Korting!$B$2)*Prijsmutaties!$D$9))</f>
        <v>749.04669350544089</v>
      </c>
      <c r="H6" s="190">
        <f>(('Rollbasic XS (2)'!H6/(1+Korting!$B$3)*(1-Korting!$B$2)*Prijsmutaties!$D$9))</f>
        <v>795.09006884444932</v>
      </c>
      <c r="I6" s="15">
        <f>(('Rollbasic XS (2)'!I6/(1+Korting!$B$3)*(1-Korting!$B$2)*Prijsmutaties!$D$9))</f>
        <v>809.8239489529318</v>
      </c>
      <c r="J6" s="15">
        <f>(('Rollbasic XS (2)'!J6/(1+Korting!$B$3)*(1-Korting!$B$2)*Prijsmutaties!$D$9))</f>
        <v>844.81691421057815</v>
      </c>
      <c r="K6" s="15">
        <f>(('Rollbasic XS (2)'!K6/(1+Korting!$B$3)*(1-Korting!$B$2)*Prijsmutaties!$D$9))</f>
        <v>877.04727694788392</v>
      </c>
      <c r="L6" s="15">
        <f>(('Rollbasic XS (2)'!L6/(1+Korting!$B$3)*(1-Korting!$B$2)*Prijsmutaties!$D$9))</f>
        <v>913.88197721909057</v>
      </c>
      <c r="M6" s="190">
        <f>(('Rollbasic XS (2)'!M6/(1+Korting!$B$3)*(1-Korting!$B$2)*Prijsmutaties!$D$9))</f>
        <v>954.40014751741785</v>
      </c>
      <c r="N6" s="5">
        <v>160</v>
      </c>
      <c r="O6" s="2"/>
    </row>
    <row r="7" spans="1:15" ht="18.95" customHeight="1">
      <c r="A7" s="856"/>
      <c r="B7" s="13">
        <v>180</v>
      </c>
      <c r="C7" s="10">
        <f>(('Rollbasic XS (2)'!C7/(1+Korting!$B$3)*(1-Korting!$B$2)*Prijsmutaties!$D$9))</f>
        <v>630.25478513079963</v>
      </c>
      <c r="D7" s="10">
        <f>(('Rollbasic XS (2)'!D7/(1+Korting!$B$3)*(1-Korting!$B$2)*Prijsmutaties!$D$9))</f>
        <v>673.53555794946749</v>
      </c>
      <c r="E7" s="10">
        <f>(('Rollbasic XS (2)'!E7/(1+Korting!$B$3)*(1-Korting!$B$2)*Prijsmutaties!$D$9))</f>
        <v>712.21199323423446</v>
      </c>
      <c r="F7" s="189">
        <f>(('Rollbasic XS (2)'!F7/(1+Korting!$B$3)*(1-Korting!$B$2)*Prijsmutaties!$D$9))</f>
        <v>754.57189854612193</v>
      </c>
      <c r="G7" s="10">
        <f>(('Rollbasic XS (2)'!G7/(1+Korting!$B$3)*(1-Korting!$B$2)*Prijsmutaties!$D$9))</f>
        <v>781.27705624274665</v>
      </c>
      <c r="H7" s="189">
        <f>(('Rollbasic XS (2)'!H7/(1+Korting!$B$3)*(1-Korting!$B$2)*Prijsmutaties!$D$9))</f>
        <v>819.95349152751362</v>
      </c>
      <c r="I7" s="10">
        <f>(('Rollbasic XS (2)'!I7/(1+Korting!$B$3)*(1-Korting!$B$2)*Prijsmutaties!$D$9))</f>
        <v>856.78819179872028</v>
      </c>
      <c r="J7" s="10">
        <f>(('Rollbasic XS (2)'!J7/(1+Korting!$B$3)*(1-Korting!$B$2)*Prijsmutaties!$D$9))</f>
        <v>895.46462708348724</v>
      </c>
      <c r="K7" s="10">
        <f>(('Rollbasic XS (2)'!K7/(1+Korting!$B$3)*(1-Korting!$B$2)*Prijsmutaties!$D$9))</f>
        <v>942.42886992927572</v>
      </c>
      <c r="L7" s="10">
        <f>(('Rollbasic XS (2)'!L7/(1+Korting!$B$3)*(1-Korting!$B$2)*Prijsmutaties!$D$9))</f>
        <v>981.10530521404269</v>
      </c>
      <c r="M7" s="189">
        <f>(('Rollbasic XS (2)'!M7/(1+Korting!$B$3)*(1-Korting!$B$2)*Prijsmutaties!$D$9))</f>
        <v>1033.594753100512</v>
      </c>
      <c r="N7" s="13">
        <v>180</v>
      </c>
      <c r="O7" s="2"/>
    </row>
    <row r="8" spans="1:15" ht="18" customHeight="1">
      <c r="A8" s="856"/>
      <c r="B8" s="5">
        <v>200</v>
      </c>
      <c r="C8" s="15">
        <f>(('Rollbasic XS (2)'!C8/(1+Korting!$B$3)*(1-Korting!$B$2)*Prijsmutaties!$D$9))</f>
        <v>653.27647280030374</v>
      </c>
      <c r="D8" s="15">
        <f>(('Rollbasic XS (2)'!D8/(1+Korting!$B$3)*(1-Korting!$B$2)*Prijsmutaties!$D$9))</f>
        <v>695.63637811219132</v>
      </c>
      <c r="E8" s="15">
        <f>(('Rollbasic XS (2)'!E8/(1+Korting!$B$3)*(1-Korting!$B$2)*Prijsmutaties!$D$9))</f>
        <v>742.60062095797969</v>
      </c>
      <c r="F8" s="190">
        <f>(('Rollbasic XS (2)'!F8/(1+Korting!$B$3)*(1-Korting!$B$2)*Prijsmutaties!$D$9))</f>
        <v>774.83098369528557</v>
      </c>
      <c r="G8" s="15">
        <f>(('Rollbasic XS (2)'!G8/(1+Korting!$B$3)*(1-Korting!$B$2)*Prijsmutaties!$D$9))</f>
        <v>816.27002150039289</v>
      </c>
      <c r="H8" s="190">
        <f>(('Rollbasic XS (2)'!H8/(1+Korting!$B$3)*(1-Korting!$B$2)*Prijsmutaties!$D$9))</f>
        <v>854.94645678515985</v>
      </c>
      <c r="I8" s="15">
        <f>(('Rollbasic XS (2)'!I8/(1+Korting!$B$3)*(1-Korting!$B$2)*Prijsmutaties!$D$9))</f>
        <v>899.14809711060786</v>
      </c>
      <c r="J8" s="15">
        <f>(('Rollbasic XS (2)'!J8/(1+Korting!$B$3)*(1-Korting!$B$2)*Prijsmutaties!$D$9))</f>
        <v>946.11233995639634</v>
      </c>
      <c r="K8" s="15">
        <f>(('Rollbasic XS (2)'!K8/(1+Korting!$B$3)*(1-Korting!$B$2)*Prijsmutaties!$D$9))</f>
        <v>1005.0478603903268</v>
      </c>
      <c r="L8" s="15">
        <f>(('Rollbasic XS (2)'!L8/(1+Korting!$B$3)*(1-Korting!$B$2)*Prijsmutaties!$D$9))</f>
        <v>1044.6451631818738</v>
      </c>
      <c r="M8" s="190">
        <f>(('Rollbasic XS (2)'!M8/(1+Korting!$B$3)*(1-Korting!$B$2)*Prijsmutaties!$D$9))</f>
        <v>1085.1633334802011</v>
      </c>
      <c r="N8" s="5">
        <v>200</v>
      </c>
      <c r="O8" s="2"/>
    </row>
    <row r="9" spans="1:15" ht="18" customHeight="1">
      <c r="A9" s="856"/>
      <c r="B9" s="13">
        <v>220</v>
      </c>
      <c r="C9" s="10">
        <f>(('Rollbasic XS (2)'!C9/(1+Korting!$B$3)*(1-Korting!$B$2)*Prijsmutaties!$D$9))</f>
        <v>687.34857055116981</v>
      </c>
      <c r="D9" s="10">
        <f>(('Rollbasic XS (2)'!D9/(1+Korting!$B$3)*(1-Korting!$B$2)*Prijsmutaties!$D$9))</f>
        <v>736.1545484105186</v>
      </c>
      <c r="E9" s="10">
        <f>(('Rollbasic XS (2)'!E9/(1+Korting!$B$3)*(1-Korting!$B$2)*Prijsmutaties!$D$9))</f>
        <v>774.83098369528557</v>
      </c>
      <c r="F9" s="189">
        <f>(('Rollbasic XS (2)'!F9/(1+Korting!$B$3)*(1-Korting!$B$2)*Prijsmutaties!$D$9))</f>
        <v>818.11175651395331</v>
      </c>
      <c r="G9" s="10">
        <f>(('Rollbasic XS (2)'!G9/(1+Korting!$B$3)*(1-Korting!$B$2)*Prijsmutaties!$D$9))</f>
        <v>863.23426434618159</v>
      </c>
      <c r="H9" s="189">
        <f>(('Rollbasic XS (2)'!H9/(1+Korting!$B$3)*(1-Korting!$B$2)*Prijsmutaties!$D$9))</f>
        <v>909.27763968518968</v>
      </c>
      <c r="I9" s="10">
        <f>(('Rollbasic XS (2)'!I9/(1+Korting!$B$3)*(1-Korting!$B$2)*Prijsmutaties!$D$9))</f>
        <v>960.84622006487893</v>
      </c>
      <c r="J9" s="10">
        <f>(('Rollbasic XS (2)'!J9/(1+Korting!$B$3)*(1-Korting!$B$2)*Prijsmutaties!$D$9))</f>
        <v>1019.7817404988094</v>
      </c>
      <c r="K9" s="10">
        <f>(('Rollbasic XS (2)'!K9/(1+Korting!$B$3)*(1-Korting!$B$2)*Prijsmutaties!$D$9))</f>
        <v>1066.7459833445978</v>
      </c>
      <c r="L9" s="10">
        <f>(('Rollbasic XS (2)'!L9/(1+Korting!$B$3)*(1-Korting!$B$2)*Prijsmutaties!$D$9))</f>
        <v>1113.7102261903865</v>
      </c>
      <c r="M9" s="236"/>
      <c r="N9" s="13">
        <v>220</v>
      </c>
      <c r="O9" s="2"/>
    </row>
    <row r="10" spans="1:15" ht="18" customHeight="1">
      <c r="A10" s="856"/>
      <c r="B10" s="5">
        <v>240</v>
      </c>
      <c r="C10" s="15">
        <f>(('Rollbasic XS (2)'!C10/(1+Korting!$B$3)*(1-Korting!$B$2)*Prijsmutaties!$D$9))</f>
        <v>710.37025822067392</v>
      </c>
      <c r="D10" s="15">
        <f>(('Rollbasic XS (2)'!D10/(1+Korting!$B$3)*(1-Korting!$B$2)*Prijsmutaties!$D$9))</f>
        <v>761.01797109358301</v>
      </c>
      <c r="E10" s="15">
        <f>(('Rollbasic XS (2)'!E10/(1+Korting!$B$3)*(1-Korting!$B$2)*Prijsmutaties!$D$9))</f>
        <v>801.53614139191041</v>
      </c>
      <c r="F10" s="190">
        <f>(('Rollbasic XS (2)'!F10/(1+Korting!$B$3)*(1-Korting!$B$2)*Prijsmutaties!$D$9))</f>
        <v>848.50038423769877</v>
      </c>
      <c r="G10" s="15">
        <f>(('Rollbasic XS (2)'!G10/(1+Korting!$B$3)*(1-Korting!$B$2)*Prijsmutaties!$D$9))</f>
        <v>895.46462708348724</v>
      </c>
      <c r="H10" s="190">
        <f>(('Rollbasic XS (2)'!H10/(1+Korting!$B$3)*(1-Korting!$B$2)*Prijsmutaties!$D$9))</f>
        <v>952.55841250385743</v>
      </c>
      <c r="I10" s="15">
        <f>(('Rollbasic XS (2)'!I10/(1+Korting!$B$3)*(1-Korting!$B$2)*Prijsmutaties!$D$9))</f>
        <v>1017.9400054852493</v>
      </c>
      <c r="J10" s="15">
        <f>(('Rollbasic XS (2)'!J10/(1+Korting!$B$3)*(1-Korting!$B$2)*Prijsmutaties!$D$9))</f>
        <v>1064.9042483310375</v>
      </c>
      <c r="K10" s="226"/>
      <c r="L10" s="226"/>
      <c r="M10" s="237"/>
      <c r="N10" s="5">
        <v>240</v>
      </c>
      <c r="O10" s="2"/>
    </row>
    <row r="11" spans="1:15" ht="18" customHeight="1">
      <c r="A11" s="856"/>
      <c r="B11" s="13">
        <v>260</v>
      </c>
      <c r="C11" s="10">
        <f>(('Rollbasic XS (2)'!C11/(1+Korting!$B$3)*(1-Korting!$B$2)*Prijsmutaties!$D$9))</f>
        <v>730.62934336983767</v>
      </c>
      <c r="D11" s="10">
        <f>(('Rollbasic XS (2)'!D11/(1+Korting!$B$3)*(1-Korting!$B$2)*Prijsmutaties!$D$9))</f>
        <v>774.83098369528557</v>
      </c>
      <c r="E11" s="10">
        <f>(('Rollbasic XS (2)'!E11/(1+Korting!$B$3)*(1-Korting!$B$2)*Prijsmutaties!$D$9))</f>
        <v>828.24129908853524</v>
      </c>
      <c r="F11" s="189">
        <f>(('Rollbasic XS (2)'!F11/(1+Korting!$B$3)*(1-Korting!$B$2)*Prijsmutaties!$D$9))</f>
        <v>877.04727694788392</v>
      </c>
      <c r="G11" s="10">
        <f>(('Rollbasic XS (2)'!G11/(1+Korting!$B$3)*(1-Korting!$B$2)*Prijsmutaties!$D$9))</f>
        <v>937.82453239537472</v>
      </c>
      <c r="H11" s="189">
        <f>(('Rollbasic XS (2)'!H11/(1+Korting!$B$3)*(1-Korting!$B$2)*Prijsmutaties!$D$9))</f>
        <v>1007.8104629106673</v>
      </c>
      <c r="I11" s="10">
        <f>(('Rollbasic XS (2)'!I11/(1+Korting!$B$3)*(1-Korting!$B$2)*Prijsmutaties!$D$9))</f>
        <v>1056.616440770016</v>
      </c>
      <c r="J11" s="225"/>
      <c r="K11" s="225"/>
      <c r="L11" s="225"/>
      <c r="M11" s="236"/>
      <c r="N11" s="13">
        <v>260</v>
      </c>
      <c r="O11" s="2"/>
    </row>
    <row r="12" spans="1:15" ht="18.95" customHeight="1">
      <c r="A12" s="856"/>
      <c r="B12" s="5">
        <v>280</v>
      </c>
      <c r="C12" s="15">
        <f>(('Rollbasic XS (2)'!C12/(1+Korting!$B$3)*(1-Korting!$B$2)*Prijsmutaties!$D$9))</f>
        <v>752.73016353256173</v>
      </c>
      <c r="D12" s="15">
        <f>(('Rollbasic XS (2)'!D12/(1+Korting!$B$3)*(1-Korting!$B$2)*Prijsmutaties!$D$9))</f>
        <v>795.09006884444932</v>
      </c>
      <c r="E12" s="15">
        <f>(('Rollbasic XS (2)'!E12/(1+Korting!$B$3)*(1-Korting!$B$2)*Prijsmutaties!$D$9))</f>
        <v>850.34211925125908</v>
      </c>
      <c r="F12" s="190">
        <f>(('Rollbasic XS (2)'!F12/(1+Korting!$B$3)*(1-Korting!$B$2)*Prijsmutaties!$D$9))</f>
        <v>905.59416965806906</v>
      </c>
      <c r="G12" s="15">
        <f>(('Rollbasic XS (2)'!G12/(1+Korting!$B$3)*(1-Korting!$B$2)*Prijsmutaties!$D$9))</f>
        <v>982.947040227603</v>
      </c>
      <c r="H12" s="190">
        <f>(('Rollbasic XS (2)'!H12/(1+Korting!$B$3)*(1-Korting!$B$2)*Prijsmutaties!$D$9))</f>
        <v>1036.3573556208526</v>
      </c>
      <c r="I12" s="15">
        <f>(('Rollbasic XS (2)'!I12/(1+Korting!$B$3)*(1-Korting!$B$2)*Prijsmutaties!$D$9))</f>
        <v>1088.846803507322</v>
      </c>
      <c r="J12" s="226"/>
      <c r="K12" s="226"/>
      <c r="L12" s="226"/>
      <c r="M12" s="237"/>
      <c r="N12" s="5">
        <v>280</v>
      </c>
      <c r="O12" s="2"/>
    </row>
    <row r="13" spans="1:15" ht="18" customHeight="1">
      <c r="A13" s="856"/>
      <c r="B13" s="13">
        <v>300</v>
      </c>
      <c r="C13" s="10">
        <f>(('Rollbasic XS (2)'!C13/(1+Korting!$B$3)*(1-Korting!$B$2)*Prijsmutaties!$D$9))</f>
        <v>772.98924868172526</v>
      </c>
      <c r="D13" s="10">
        <f>(('Rollbasic XS (2)'!D13/(1+Korting!$B$3)*(1-Korting!$B$2)*Prijsmutaties!$D$9))</f>
        <v>816.27002150039289</v>
      </c>
      <c r="E13" s="10">
        <f>(('Rollbasic XS (2)'!E13/(1+Korting!$B$3)*(1-Korting!$B$2)*Prijsmutaties!$D$9))</f>
        <v>875.20554193432361</v>
      </c>
      <c r="F13" s="189">
        <f>(('Rollbasic XS (2)'!F13/(1+Korting!$B$3)*(1-Korting!$B$2)*Prijsmutaties!$D$9))</f>
        <v>934.1410623682541</v>
      </c>
      <c r="G13" s="10">
        <f>(('Rollbasic XS (2)'!G13/(1+Korting!$B$3)*(1-Korting!$B$2)*Prijsmutaties!$D$9))</f>
        <v>1029.9112830733911</v>
      </c>
      <c r="H13" s="189">
        <f>(('Rollbasic XS (2)'!H13/(1+Korting!$B$3)*(1-Korting!$B$2)*Prijsmutaties!$D$9))</f>
        <v>1062.1416458106971</v>
      </c>
      <c r="I13" s="225"/>
      <c r="J13" s="225"/>
      <c r="K13" s="225"/>
      <c r="L13" s="225"/>
      <c r="M13" s="236"/>
      <c r="N13" s="13">
        <v>300</v>
      </c>
      <c r="O13" s="2"/>
    </row>
    <row r="14" spans="1:15" ht="18" customHeight="1">
      <c r="A14" s="856"/>
      <c r="B14" s="5">
        <v>320</v>
      </c>
      <c r="C14" s="15">
        <f>(('Rollbasic XS (2)'!C14/(1+Korting!$B$3)*(1-Korting!$B$2)*Prijsmutaties!$D$9))</f>
        <v>795.09006884444932</v>
      </c>
      <c r="D14" s="15">
        <f>(('Rollbasic XS (2)'!D14/(1+Korting!$B$3)*(1-Korting!$B$2)*Prijsmutaties!$D$9))</f>
        <v>834.68737163599633</v>
      </c>
      <c r="E14" s="15">
        <f>(('Rollbasic XS (2)'!E14/(1+Korting!$B$3)*(1-Korting!$B$2)*Prijsmutaties!$D$9))</f>
        <v>899.14809711060786</v>
      </c>
      <c r="F14" s="190">
        <f>(('Rollbasic XS (2)'!F14/(1+Korting!$B$3)*(1-Korting!$B$2)*Prijsmutaties!$D$9))</f>
        <v>962.68795507843936</v>
      </c>
      <c r="G14" s="15">
        <f>(('Rollbasic XS (2)'!G14/(1+Korting!$B$3)*(1-Korting!$B$2)*Prijsmutaties!$D$9))</f>
        <v>1075.0337909056195</v>
      </c>
      <c r="H14" s="237"/>
      <c r="I14" s="226"/>
      <c r="J14" s="226"/>
      <c r="K14" s="226"/>
      <c r="L14" s="226"/>
      <c r="M14" s="237"/>
      <c r="N14" s="5">
        <v>320</v>
      </c>
      <c r="O14" s="2"/>
    </row>
    <row r="15" spans="1:15" ht="18" customHeight="1">
      <c r="A15" s="856"/>
      <c r="B15" s="13">
        <v>340</v>
      </c>
      <c r="C15" s="10">
        <f>(('Rollbasic XS (2)'!C15/(1+Korting!$B$3)*(1-Korting!$B$2)*Prijsmutaties!$D$9))</f>
        <v>818.11175651395331</v>
      </c>
      <c r="D15" s="10">
        <f>(('Rollbasic XS (2)'!D15/(1+Korting!$B$3)*(1-Korting!$B$2)*Prijsmutaties!$D$9))</f>
        <v>852.1838542648195</v>
      </c>
      <c r="E15" s="10">
        <f>(('Rollbasic XS (2)'!E15/(1+Korting!$B$3)*(1-Korting!$B$2)*Prijsmutaties!$D$9))</f>
        <v>922.16978478011197</v>
      </c>
      <c r="F15" s="189">
        <f>(('Rollbasic XS (2)'!F15/(1+Korting!$B$3)*(1-Korting!$B$2)*Prijsmutaties!$D$9))</f>
        <v>989.39311277506408</v>
      </c>
      <c r="G15" s="10">
        <f>(('Rollbasic XS (2)'!G15/(1+Korting!$B$3)*(1-Korting!$B$2)*Prijsmutaties!$D$9))</f>
        <v>1119.2354312310674</v>
      </c>
      <c r="H15" s="236"/>
      <c r="I15" s="225"/>
      <c r="J15" s="225"/>
      <c r="K15" s="225"/>
      <c r="L15" s="225"/>
      <c r="M15" s="236"/>
      <c r="N15" s="13">
        <v>340</v>
      </c>
      <c r="O15" s="2"/>
    </row>
    <row r="16" spans="1:15" ht="18" customHeight="1">
      <c r="A16" s="856"/>
      <c r="B16" s="5">
        <v>350</v>
      </c>
      <c r="C16" s="15">
        <f>(('Rollbasic XS (2)'!C16/(1+Korting!$B$3)*(1-Korting!$B$2)*Prijsmutaties!$D$9))</f>
        <v>838.37084166311695</v>
      </c>
      <c r="D16" s="15">
        <f>(('Rollbasic XS (2)'!D16/(1+Korting!$B$3)*(1-Korting!$B$2)*Prijsmutaties!$D$9))</f>
        <v>873.3638069207633</v>
      </c>
      <c r="E16" s="15">
        <f>(('Rollbasic XS (2)'!E16/(1+Korting!$B$3)*(1-Korting!$B$2)*Prijsmutaties!$D$9))</f>
        <v>946.11233995639634</v>
      </c>
      <c r="F16" s="190">
        <f>(('Rollbasic XS (2)'!F16/(1+Korting!$B$3)*(1-Korting!$B$2)*Prijsmutaties!$D$9))</f>
        <v>1017.9400054852493</v>
      </c>
      <c r="G16" s="226"/>
      <c r="H16" s="237"/>
      <c r="I16" s="226"/>
      <c r="J16" s="226"/>
      <c r="K16" s="226"/>
      <c r="L16" s="226"/>
      <c r="M16" s="237"/>
      <c r="N16" s="5">
        <v>350</v>
      </c>
      <c r="O16" s="2"/>
    </row>
    <row r="17" spans="1:16" ht="17.850000000000001" customHeight="1">
      <c r="A17" s="837" t="s">
        <v>177</v>
      </c>
      <c r="B17" s="837"/>
      <c r="C17" s="837"/>
      <c r="D17" s="837"/>
      <c r="E17" s="837"/>
      <c r="F17" s="837"/>
      <c r="G17" s="837"/>
      <c r="H17" s="838" t="s">
        <v>178</v>
      </c>
      <c r="I17" s="838"/>
      <c r="J17" s="838"/>
      <c r="K17" s="838"/>
      <c r="L17" s="838"/>
      <c r="M17" s="838"/>
      <c r="N17" s="838"/>
    </row>
    <row r="18" spans="1:16" ht="19.7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6" ht="16.5" customHeight="1">
      <c r="A19" s="839" t="s">
        <v>7</v>
      </c>
      <c r="B19" s="839"/>
      <c r="C19" s="839"/>
      <c r="D19" s="839"/>
      <c r="E19" s="839"/>
      <c r="F19" s="839"/>
      <c r="G19" s="839"/>
      <c r="H19" s="839" t="s">
        <v>150</v>
      </c>
      <c r="I19" s="839"/>
      <c r="J19" s="839"/>
      <c r="K19" s="839"/>
      <c r="L19" s="839"/>
      <c r="M19" s="839"/>
      <c r="N19" s="839"/>
    </row>
    <row r="20" spans="1:16" ht="18" customHeight="1">
      <c r="A20" s="542" t="s">
        <v>335</v>
      </c>
      <c r="B20" s="543"/>
      <c r="C20" s="543"/>
      <c r="D20" s="543"/>
      <c r="E20" s="543"/>
      <c r="F20" s="543"/>
      <c r="G20" s="189">
        <f>(('Rollbasic XS (2)'!G23/(1+Korting!$B$3)*(1-Korting!$B$2)*Prijsmutaties!$M$9))</f>
        <v>197.73470352272724</v>
      </c>
      <c r="H20" s="605" t="s">
        <v>494</v>
      </c>
      <c r="I20" s="540"/>
      <c r="J20" s="540"/>
      <c r="K20" s="540"/>
      <c r="L20" s="540"/>
      <c r="M20" s="540"/>
      <c r="N20" s="190">
        <f>(('Rollbasic XS (2)'!N20/(1+Korting!$B$3)*(1-Korting!$B$2)*Prijsmutaties!$M$9))</f>
        <v>-215.20893313636358</v>
      </c>
    </row>
    <row r="21" spans="1:16" ht="18" customHeight="1">
      <c r="A21" s="539" t="s">
        <v>9</v>
      </c>
      <c r="B21" s="540"/>
      <c r="C21" s="540"/>
      <c r="D21" s="540"/>
      <c r="E21" s="540"/>
      <c r="F21" s="541"/>
      <c r="G21" s="190">
        <f>(('Rollbasic XS (2)'!G24/(1+Korting!$B$3)*(1-Korting!$B$2)*Prijsmutaties!$M$9))</f>
        <v>62.53934809090908</v>
      </c>
      <c r="H21" s="574" t="s">
        <v>495</v>
      </c>
      <c r="I21" s="543"/>
      <c r="J21" s="543"/>
      <c r="K21" s="543"/>
      <c r="L21" s="543"/>
      <c r="M21" s="543"/>
      <c r="N21" s="189">
        <f>(('Rollbasic XS (2)'!N21/(1+Korting!$B$3)*(1-Korting!$B$2)*Prijsmutaties!$M$9))</f>
        <v>-124.15899988636362</v>
      </c>
    </row>
    <row r="22" spans="1:16" ht="18.95" customHeight="1">
      <c r="A22" s="542" t="s">
        <v>402</v>
      </c>
      <c r="B22" s="543"/>
      <c r="C22" s="543"/>
      <c r="D22" s="543"/>
      <c r="E22" s="543"/>
      <c r="F22" s="544"/>
      <c r="G22" s="189">
        <f>(('Rollbasic XS (2)'!G20/(1+Korting!$B$3)*(1-Korting!$B$2)*Prijsmutaties!$M$9))</f>
        <v>164.62563688636362</v>
      </c>
      <c r="H22" s="605" t="s">
        <v>501</v>
      </c>
      <c r="I22" s="540"/>
      <c r="J22" s="540"/>
      <c r="K22" s="540"/>
      <c r="L22" s="540"/>
      <c r="M22" s="540"/>
      <c r="N22" s="190">
        <f>(('Rollbasic XS (2)'!N22/(1+Korting!$B$3)*(1-Korting!$B$2)*Prijsmutaties!$D$9))</f>
        <v>-89.638854628118153</v>
      </c>
    </row>
    <row r="23" spans="1:16" ht="18.95" customHeight="1">
      <c r="A23" s="539" t="s">
        <v>191</v>
      </c>
      <c r="B23" s="540"/>
      <c r="C23" s="540"/>
      <c r="D23" s="540"/>
      <c r="E23" s="540"/>
      <c r="F23" s="541"/>
      <c r="G23" s="190">
        <f>(('Rollbasic XS (2)'!G21/(1+Korting!$B$3)*(1-Korting!$B$2)*Prijsmutaties!$M$9))</f>
        <v>51.043144397727268</v>
      </c>
      <c r="H23" s="862" t="s">
        <v>492</v>
      </c>
      <c r="I23" s="863"/>
      <c r="J23" s="863"/>
      <c r="K23" s="863"/>
      <c r="L23" s="863"/>
      <c r="M23" s="863"/>
      <c r="N23" s="189">
        <f>(('Rollbasic XS (2)'!N23/(1+Korting!$B$3)*(1-Korting!$B$2)*Prijsmutaties!$M$9))</f>
        <v>0</v>
      </c>
    </row>
    <row r="24" spans="1:16" ht="18" customHeight="1">
      <c r="A24" s="542" t="s">
        <v>403</v>
      </c>
      <c r="B24" s="543"/>
      <c r="C24" s="543"/>
      <c r="D24" s="543"/>
      <c r="E24" s="543"/>
      <c r="F24" s="544"/>
      <c r="G24" s="189">
        <v>0</v>
      </c>
    </row>
    <row r="25" spans="1:16" ht="18" customHeight="1">
      <c r="A25" s="539" t="s">
        <v>186</v>
      </c>
      <c r="B25" s="540"/>
      <c r="C25" s="540"/>
      <c r="D25" s="540"/>
      <c r="E25" s="540"/>
      <c r="F25" s="541"/>
      <c r="G25" s="190">
        <f>(('Rollbasic XS (2)'!G26/(1+Korting!$B$3)*(1-Korting!$B$2)*Prijsmutaties!$M$9))</f>
        <v>15.63483702272727</v>
      </c>
      <c r="H25" s="854" t="s">
        <v>503</v>
      </c>
      <c r="I25" s="837"/>
      <c r="J25" s="837"/>
      <c r="K25" s="837"/>
      <c r="L25" s="837"/>
      <c r="M25" s="837"/>
      <c r="N25" s="837"/>
      <c r="O25" s="837"/>
      <c r="P25" s="837"/>
    </row>
    <row r="26" spans="1:16" ht="18" customHeight="1">
      <c r="A26" s="542" t="s">
        <v>187</v>
      </c>
      <c r="B26" s="543"/>
      <c r="C26" s="543"/>
      <c r="D26" s="543"/>
      <c r="E26" s="543"/>
      <c r="F26" s="544"/>
      <c r="G26" s="189">
        <f>(('Rollbasic XS (2)'!G27/(1+Korting!$B$3)*(1-Korting!$B$2)*Prijsmutaties!$M$9))</f>
        <v>23.912103681818177</v>
      </c>
      <c r="H26" s="839"/>
      <c r="I26" s="839"/>
      <c r="J26" s="839"/>
      <c r="K26" s="839"/>
      <c r="L26" s="839"/>
      <c r="M26" s="839"/>
      <c r="N26" s="839"/>
      <c r="O26" s="839"/>
      <c r="P26" s="839"/>
    </row>
    <row r="27" spans="1:16" ht="18.95" customHeight="1">
      <c r="H27" s="858" t="s">
        <v>502</v>
      </c>
      <c r="I27" s="859"/>
      <c r="J27" s="859"/>
      <c r="K27" s="859"/>
      <c r="L27" s="859"/>
      <c r="M27" s="859"/>
      <c r="N27" s="859"/>
      <c r="O27" s="859"/>
      <c r="P27" s="860"/>
    </row>
    <row r="28" spans="1:16">
      <c r="H28" s="629" t="str">
        <f>CONCATENATE("Stap 2: Trek € ",MROUND(((143.5/(1+Korting!$B$3)*(1-Korting!$H$2)*Prijsmutaties!$M$9)),1)," af van de totaalprijs van deze 2 rolluiken")</f>
        <v>Stap 2: Trek € 132 af van de totaalprijs van deze 2 rolluiken</v>
      </c>
      <c r="I28" s="843"/>
      <c r="J28" s="843"/>
      <c r="K28" s="843"/>
      <c r="L28" s="843"/>
      <c r="M28" s="843"/>
      <c r="N28" s="843"/>
      <c r="O28" s="843"/>
      <c r="P28" s="844"/>
    </row>
    <row r="29" spans="1:16">
      <c r="H29" s="845"/>
      <c r="I29" s="846"/>
      <c r="J29" s="846"/>
      <c r="K29" s="846"/>
      <c r="L29" s="846"/>
      <c r="M29" s="846"/>
      <c r="N29" s="846"/>
      <c r="O29" s="846"/>
      <c r="P29" s="847"/>
    </row>
    <row r="30" spans="1:16">
      <c r="H30" s="665" t="s">
        <v>189</v>
      </c>
      <c r="I30" s="816"/>
      <c r="J30" s="816"/>
      <c r="K30" s="816"/>
      <c r="L30" s="816"/>
      <c r="M30" s="816"/>
      <c r="N30" s="816"/>
      <c r="O30" s="816"/>
      <c r="P30" s="666"/>
    </row>
    <row r="31" spans="1:16">
      <c r="H31" s="667"/>
      <c r="I31" s="850"/>
      <c r="J31" s="850"/>
      <c r="K31" s="850"/>
      <c r="L31" s="850"/>
      <c r="M31" s="850"/>
      <c r="N31" s="850"/>
      <c r="O31" s="850"/>
      <c r="P31" s="668"/>
    </row>
  </sheetData>
  <sheetProtection algorithmName="SHA-512" hashValue="ycyycIGxDVd9TI8vb7iaaBXNgvf1Cpw/CEVkC5fXDAhOz5PmsVGKDkufHM8KWDJaJD9spuNkaG08anpRdNo/hQ==" saltValue="TQYNO6LebgtUxz+KMD0H1g==" spinCount="100000" sheet="1" objects="1" scenarios="1"/>
  <mergeCells count="21">
    <mergeCell ref="H30:P31"/>
    <mergeCell ref="A20:F20"/>
    <mergeCell ref="H25:P26"/>
    <mergeCell ref="H27:P27"/>
    <mergeCell ref="H28:P29"/>
    <mergeCell ref="A26:F26"/>
    <mergeCell ref="A21:F21"/>
    <mergeCell ref="A24:F24"/>
    <mergeCell ref="A25:F25"/>
    <mergeCell ref="A1:O1"/>
    <mergeCell ref="A2:A16"/>
    <mergeCell ref="A23:F23"/>
    <mergeCell ref="H21:M21"/>
    <mergeCell ref="H22:M22"/>
    <mergeCell ref="A17:G17"/>
    <mergeCell ref="H17:N17"/>
    <mergeCell ref="A19:G19"/>
    <mergeCell ref="H19:N19"/>
    <mergeCell ref="A22:F22"/>
    <mergeCell ref="H20:M20"/>
    <mergeCell ref="H23:M23"/>
  </mergeCells>
  <pageMargins left="0.70866141732283472" right="0.70866141732283472" top="0.74803149606299213" bottom="0.74803149606299213" header="0.31496062992125984" footer="0.31496062992125984"/>
  <pageSetup paperSize="9" scale="82" orientation="portrait" r:id="rId1"/>
  <headerFooter>
    <oddFooter>&amp;L&amp;D&amp;C&amp;F
Tabblad &amp;A&amp;RInkoopprijslijst excl. BTW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904D-C1C8-4271-A34E-118C36FB63A7}">
  <sheetPr codeName="Blad34">
    <tabColor rgb="FFFFC000"/>
  </sheetPr>
  <dimension ref="A1:M31"/>
  <sheetViews>
    <sheetView topLeftCell="A10" workbookViewId="0">
      <selection activeCell="C32" sqref="C32"/>
    </sheetView>
  </sheetViews>
  <sheetFormatPr defaultRowHeight="12.75"/>
  <cols>
    <col min="1" max="1" width="13.1640625" customWidth="1"/>
    <col min="2" max="2" width="11.83203125" customWidth="1"/>
    <col min="3" max="3" width="14.6640625" customWidth="1"/>
    <col min="4" max="4" width="2.83203125" customWidth="1"/>
    <col min="5" max="5" width="11.83203125" customWidth="1"/>
    <col min="6" max="6" width="3.33203125" customWidth="1"/>
    <col min="7" max="7" width="3.1640625" customWidth="1"/>
    <col min="8" max="8" width="10.6640625" customWidth="1"/>
    <col min="9" max="9" width="15.83203125" customWidth="1"/>
    <col min="10" max="10" width="13.5" customWidth="1"/>
    <col min="11" max="11" width="2.6640625" customWidth="1"/>
    <col min="12" max="12" width="11.5" customWidth="1"/>
    <col min="13" max="13" width="11.1640625" customWidth="1"/>
  </cols>
  <sheetData>
    <row r="1" spans="1:13" ht="66" customHeight="1">
      <c r="A1" s="537" t="s">
        <v>192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</row>
    <row r="2" spans="1:13" ht="27" customHeight="1">
      <c r="A2" s="864" t="s">
        <v>165</v>
      </c>
      <c r="B2" s="864"/>
      <c r="C2" s="864"/>
      <c r="D2" s="864"/>
      <c r="E2" s="864"/>
      <c r="F2" s="3"/>
      <c r="G2" s="3"/>
      <c r="H2" s="864"/>
      <c r="I2" s="864"/>
      <c r="J2" s="864"/>
      <c r="K2" s="864"/>
      <c r="L2" s="864"/>
      <c r="M2" s="3"/>
    </row>
    <row r="3" spans="1:13" ht="26.1" customHeight="1">
      <c r="A3" s="539" t="s">
        <v>506</v>
      </c>
      <c r="B3" s="540"/>
      <c r="C3" s="540"/>
      <c r="D3" s="541"/>
      <c r="E3" s="36">
        <v>-91</v>
      </c>
      <c r="F3" s="3"/>
      <c r="G3" s="3"/>
      <c r="H3" s="539"/>
      <c r="I3" s="540"/>
      <c r="J3" s="540"/>
      <c r="K3" s="541"/>
      <c r="L3" s="36"/>
      <c r="M3" s="3"/>
    </row>
    <row r="4" spans="1:13" ht="24.95" customHeight="1">
      <c r="A4" s="542" t="s">
        <v>505</v>
      </c>
      <c r="B4" s="543"/>
      <c r="C4" s="543"/>
      <c r="D4" s="544"/>
      <c r="E4" s="38">
        <v>9</v>
      </c>
      <c r="F4" s="3"/>
      <c r="G4" s="3"/>
      <c r="H4" s="542"/>
      <c r="I4" s="543"/>
      <c r="J4" s="543"/>
      <c r="K4" s="544"/>
      <c r="L4" s="38"/>
      <c r="M4" s="3"/>
    </row>
    <row r="5" spans="1:13" ht="26.1" customHeight="1">
      <c r="A5" s="539" t="s">
        <v>9</v>
      </c>
      <c r="B5" s="540"/>
      <c r="C5" s="540"/>
      <c r="D5" s="541"/>
      <c r="E5" s="36">
        <v>70</v>
      </c>
      <c r="F5" s="3"/>
      <c r="G5" s="3"/>
      <c r="H5" s="3"/>
      <c r="I5" s="3"/>
      <c r="J5" s="3"/>
      <c r="K5" s="3"/>
      <c r="L5" s="3"/>
      <c r="M5" s="3"/>
    </row>
    <row r="6" spans="1:13" ht="16.5">
      <c r="A6" s="848" t="s">
        <v>57</v>
      </c>
      <c r="B6" s="604"/>
      <c r="C6" s="604"/>
      <c r="D6" s="849"/>
      <c r="E6" s="292">
        <v>107</v>
      </c>
      <c r="F6" s="2"/>
      <c r="G6" s="2"/>
      <c r="H6" s="2"/>
      <c r="I6" s="2"/>
      <c r="J6" s="2"/>
      <c r="K6" s="2"/>
      <c r="L6" s="2"/>
      <c r="M6" s="2"/>
    </row>
    <row r="7" spans="1:13" ht="23.45" customHeight="1">
      <c r="A7" s="840"/>
      <c r="B7" s="841"/>
      <c r="C7" s="841"/>
      <c r="D7" s="842"/>
      <c r="E7" s="293"/>
      <c r="F7" s="3"/>
      <c r="G7" s="3"/>
      <c r="H7" s="865" t="s">
        <v>194</v>
      </c>
      <c r="I7" s="865"/>
      <c r="J7" s="865"/>
      <c r="K7" s="865"/>
      <c r="L7" s="865"/>
      <c r="M7" s="3"/>
    </row>
    <row r="8" spans="1:13" ht="16.5">
      <c r="A8" s="693" t="s">
        <v>195</v>
      </c>
      <c r="B8" s="694"/>
      <c r="C8" s="694"/>
      <c r="D8" s="695"/>
      <c r="E8" s="277">
        <v>57</v>
      </c>
      <c r="F8" s="2"/>
      <c r="G8" s="2"/>
      <c r="H8" s="866"/>
      <c r="I8" s="866"/>
      <c r="J8" s="866"/>
      <c r="K8" s="866"/>
      <c r="L8" s="866"/>
      <c r="M8" s="2"/>
    </row>
    <row r="9" spans="1:13" ht="27" customHeight="1">
      <c r="A9" s="699"/>
      <c r="B9" s="700"/>
      <c r="C9" s="700"/>
      <c r="D9" s="701"/>
      <c r="E9" s="278"/>
      <c r="F9" s="3"/>
      <c r="G9" s="3"/>
      <c r="H9" s="665" t="s">
        <v>196</v>
      </c>
      <c r="I9" s="816"/>
      <c r="J9" s="816"/>
      <c r="K9" s="666"/>
      <c r="L9" s="277">
        <v>122</v>
      </c>
      <c r="M9" s="3"/>
    </row>
    <row r="10" spans="1:13" ht="16.5">
      <c r="A10" s="848" t="s">
        <v>191</v>
      </c>
      <c r="B10" s="604"/>
      <c r="C10" s="604"/>
      <c r="D10" s="849"/>
      <c r="E10" s="283">
        <v>57</v>
      </c>
      <c r="F10" s="2"/>
      <c r="G10" s="2"/>
      <c r="H10" s="667"/>
      <c r="I10" s="850"/>
      <c r="J10" s="850"/>
      <c r="K10" s="668"/>
      <c r="L10" s="278"/>
      <c r="M10" s="2"/>
    </row>
    <row r="11" spans="1:13" ht="20.100000000000001" customHeight="1">
      <c r="A11" s="840"/>
      <c r="B11" s="841"/>
      <c r="C11" s="841"/>
      <c r="D11" s="842"/>
      <c r="E11" s="284"/>
      <c r="F11" s="3"/>
      <c r="G11" s="3"/>
      <c r="H11" s="3"/>
      <c r="I11" s="3"/>
      <c r="J11" s="3"/>
      <c r="K11" s="3"/>
      <c r="L11" s="3"/>
      <c r="M11" s="3"/>
    </row>
    <row r="12" spans="1:13" ht="16.5">
      <c r="A12" s="693" t="s">
        <v>30</v>
      </c>
      <c r="B12" s="694"/>
      <c r="C12" s="694"/>
      <c r="D12" s="695"/>
      <c r="E12" s="277">
        <v>183</v>
      </c>
      <c r="F12" s="2"/>
      <c r="G12" s="2"/>
      <c r="H12" s="2"/>
      <c r="I12" s="2"/>
      <c r="J12" s="2"/>
      <c r="K12" s="2"/>
      <c r="L12" s="2"/>
      <c r="M12" s="2"/>
    </row>
    <row r="13" spans="1:13" ht="18.600000000000001" customHeight="1">
      <c r="A13" s="699"/>
      <c r="B13" s="700"/>
      <c r="C13" s="700"/>
      <c r="D13" s="701"/>
      <c r="E13" s="278"/>
      <c r="F13" s="2"/>
      <c r="G13" s="2"/>
      <c r="H13" s="867" t="s">
        <v>197</v>
      </c>
      <c r="I13" s="867"/>
      <c r="J13" s="867"/>
      <c r="K13" s="867"/>
      <c r="L13" s="867"/>
      <c r="M13" s="2"/>
    </row>
    <row r="14" spans="1:13" ht="8.25" customHeight="1">
      <c r="A14" s="2"/>
      <c r="B14" s="2"/>
      <c r="C14" s="2"/>
      <c r="D14" s="2"/>
      <c r="E14" s="2"/>
      <c r="F14" s="2"/>
      <c r="G14" s="2"/>
      <c r="H14" s="864"/>
      <c r="I14" s="864"/>
      <c r="J14" s="864"/>
      <c r="K14" s="864"/>
      <c r="L14" s="864"/>
      <c r="M14" s="2"/>
    </row>
    <row r="15" spans="1:13" ht="18.600000000000001" customHeight="1">
      <c r="A15" s="2"/>
      <c r="B15" s="2"/>
      <c r="C15" s="2"/>
      <c r="D15" s="2"/>
      <c r="E15" s="2"/>
      <c r="F15" s="2"/>
      <c r="G15" s="2"/>
      <c r="H15" s="665" t="s">
        <v>198</v>
      </c>
      <c r="I15" s="816"/>
      <c r="J15" s="816"/>
      <c r="K15" s="666"/>
      <c r="L15" s="277">
        <v>18</v>
      </c>
      <c r="M15" s="2"/>
    </row>
    <row r="16" spans="1:13" ht="7.5" customHeight="1">
      <c r="A16" s="867" t="s">
        <v>199</v>
      </c>
      <c r="B16" s="867"/>
      <c r="C16" s="867"/>
      <c r="D16" s="867"/>
      <c r="E16" s="867"/>
      <c r="F16" s="2"/>
      <c r="G16" s="2"/>
      <c r="H16" s="667"/>
      <c r="I16" s="850"/>
      <c r="J16" s="850"/>
      <c r="K16" s="668"/>
      <c r="L16" s="278"/>
      <c r="M16" s="2"/>
    </row>
    <row r="17" spans="1:13" ht="18.95" customHeight="1">
      <c r="A17" s="864"/>
      <c r="B17" s="864"/>
      <c r="C17" s="864"/>
      <c r="D17" s="864"/>
      <c r="E17" s="864"/>
      <c r="F17" s="2"/>
      <c r="G17" s="2"/>
      <c r="H17" s="868" t="s">
        <v>200</v>
      </c>
      <c r="I17" s="843"/>
      <c r="J17" s="843"/>
      <c r="K17" s="844"/>
      <c r="L17" s="283">
        <v>28</v>
      </c>
      <c r="M17" s="2"/>
    </row>
    <row r="18" spans="1:13" ht="16.5">
      <c r="A18" s="693" t="s">
        <v>201</v>
      </c>
      <c r="B18" s="694"/>
      <c r="C18" s="694"/>
      <c r="D18" s="695"/>
      <c r="E18" s="277">
        <v>0</v>
      </c>
      <c r="F18" s="2"/>
      <c r="G18" s="2"/>
      <c r="H18" s="845"/>
      <c r="I18" s="846"/>
      <c r="J18" s="846"/>
      <c r="K18" s="847"/>
      <c r="L18" s="284"/>
      <c r="M18" s="2"/>
    </row>
    <row r="19" spans="1:13" ht="20.100000000000001" customHeight="1">
      <c r="A19" s="699"/>
      <c r="B19" s="700"/>
      <c r="C19" s="700"/>
      <c r="D19" s="701"/>
      <c r="E19" s="278"/>
      <c r="F19" s="3"/>
      <c r="G19" s="3"/>
      <c r="H19" s="693"/>
      <c r="I19" s="694"/>
      <c r="J19" s="694"/>
      <c r="K19" s="695"/>
      <c r="L19" s="277"/>
      <c r="M19" s="3"/>
    </row>
    <row r="20" spans="1:13" ht="16.5">
      <c r="A20" s="848" t="s">
        <v>202</v>
      </c>
      <c r="B20" s="604"/>
      <c r="C20" s="604"/>
      <c r="D20" s="849"/>
      <c r="E20" s="283">
        <v>0</v>
      </c>
      <c r="F20" s="2"/>
      <c r="G20" s="2"/>
      <c r="H20" s="699"/>
      <c r="I20" s="700"/>
      <c r="J20" s="700"/>
      <c r="K20" s="701"/>
      <c r="L20" s="278"/>
      <c r="M20" s="2"/>
    </row>
    <row r="21" spans="1:13" ht="18.95" customHeight="1">
      <c r="A21" s="840"/>
      <c r="B21" s="841"/>
      <c r="C21" s="841"/>
      <c r="D21" s="842"/>
      <c r="E21" s="284"/>
      <c r="F21" s="2"/>
      <c r="G21" s="2"/>
      <c r="H21" s="2"/>
      <c r="I21" s="2"/>
      <c r="J21" s="2"/>
      <c r="K21" s="2"/>
      <c r="L21" s="2"/>
      <c r="M21" s="2"/>
    </row>
    <row r="22" spans="1:13" ht="26.1" customHeight="1">
      <c r="A22" s="539" t="s">
        <v>203</v>
      </c>
      <c r="B22" s="540"/>
      <c r="C22" s="540"/>
      <c r="D22" s="541"/>
      <c r="E22" s="36">
        <v>13</v>
      </c>
      <c r="F22" s="3"/>
      <c r="G22" s="3"/>
      <c r="H22" s="3"/>
      <c r="I22" s="3"/>
      <c r="J22" s="3"/>
      <c r="K22" s="3"/>
      <c r="L22" s="3"/>
      <c r="M22" s="3"/>
    </row>
    <row r="23" spans="1:13" ht="24.95" customHeight="1">
      <c r="A23" s="542" t="s">
        <v>204</v>
      </c>
      <c r="B23" s="543"/>
      <c r="C23" s="543"/>
      <c r="D23" s="544"/>
      <c r="E23" s="38">
        <v>13</v>
      </c>
      <c r="F23" s="3"/>
      <c r="G23" s="3"/>
      <c r="H23" s="3"/>
      <c r="I23" s="3"/>
      <c r="J23" s="3"/>
      <c r="K23" s="3"/>
      <c r="L23" s="3"/>
      <c r="M23" s="3"/>
    </row>
    <row r="24" spans="1:13" ht="26.1" customHeight="1">
      <c r="A24" s="539" t="s">
        <v>205</v>
      </c>
      <c r="B24" s="540"/>
      <c r="C24" s="540"/>
      <c r="D24" s="541"/>
      <c r="E24" s="36">
        <v>18</v>
      </c>
      <c r="F24" s="3"/>
      <c r="G24" s="3"/>
      <c r="H24" s="3"/>
      <c r="I24" s="3"/>
      <c r="J24" s="3"/>
      <c r="K24" s="3"/>
      <c r="L24" s="3"/>
      <c r="M24" s="3"/>
    </row>
    <row r="25" spans="1:13" ht="25.5" customHeight="1">
      <c r="A25" s="542" t="s">
        <v>206</v>
      </c>
      <c r="B25" s="543"/>
      <c r="C25" s="543"/>
      <c r="D25" s="544"/>
      <c r="E25" s="38">
        <v>23</v>
      </c>
      <c r="F25" s="3"/>
      <c r="G25" s="3"/>
      <c r="H25" s="3"/>
      <c r="I25" s="3"/>
      <c r="J25" s="3"/>
      <c r="K25" s="3"/>
      <c r="L25" s="3"/>
      <c r="M25" s="3"/>
    </row>
    <row r="26" spans="1:13" ht="25.7" customHeight="1">
      <c r="A26" s="605" t="s">
        <v>337</v>
      </c>
      <c r="B26" s="540"/>
      <c r="C26" s="540"/>
      <c r="D26" s="541"/>
      <c r="E26" s="15">
        <v>23</v>
      </c>
      <c r="F26" s="3"/>
      <c r="G26" s="3"/>
      <c r="H26" s="3"/>
      <c r="I26" s="3"/>
      <c r="J26" s="3"/>
      <c r="K26" s="3"/>
      <c r="L26" s="3"/>
      <c r="M26" s="3"/>
    </row>
    <row r="27" spans="1:13" ht="23.45" customHeight="1">
      <c r="A27" s="869" t="s">
        <v>207</v>
      </c>
      <c r="B27" s="870"/>
      <c r="C27" s="870"/>
      <c r="D27" s="870"/>
      <c r="E27" s="870"/>
      <c r="F27" s="870"/>
      <c r="G27" s="870"/>
      <c r="H27" s="870"/>
      <c r="I27" s="870"/>
      <c r="J27" s="870"/>
      <c r="K27" s="870"/>
      <c r="L27" s="871"/>
      <c r="M27" s="3"/>
    </row>
    <row r="28" spans="1:13" ht="24.95" customHeight="1">
      <c r="A28" s="111"/>
      <c r="B28" s="105" t="s">
        <v>90</v>
      </c>
      <c r="C28" s="105" t="s">
        <v>208</v>
      </c>
      <c r="D28" s="682" t="s">
        <v>209</v>
      </c>
      <c r="E28" s="821"/>
      <c r="F28" s="683"/>
      <c r="G28" s="872" t="s">
        <v>210</v>
      </c>
      <c r="H28" s="873"/>
      <c r="I28" s="105" t="s">
        <v>211</v>
      </c>
      <c r="J28" s="105" t="s">
        <v>212</v>
      </c>
      <c r="K28" s="680" t="s">
        <v>213</v>
      </c>
      <c r="L28" s="681"/>
      <c r="M28" s="3"/>
    </row>
    <row r="29" spans="1:13" ht="26.1" customHeight="1">
      <c r="A29" s="101" t="s">
        <v>214</v>
      </c>
      <c r="B29" s="15">
        <v>400</v>
      </c>
      <c r="C29" s="15">
        <v>700</v>
      </c>
      <c r="D29" s="552">
        <v>565</v>
      </c>
      <c r="E29" s="735"/>
      <c r="F29" s="553"/>
      <c r="G29" s="552">
        <v>750</v>
      </c>
      <c r="H29" s="553"/>
      <c r="I29" s="15">
        <v>565</v>
      </c>
      <c r="J29" s="15">
        <v>659</v>
      </c>
      <c r="K29" s="582">
        <v>850</v>
      </c>
      <c r="L29" s="583"/>
      <c r="M29" s="3"/>
    </row>
    <row r="30" spans="1:13" ht="24.95" customHeight="1">
      <c r="A30" s="105" t="s">
        <v>215</v>
      </c>
      <c r="B30" s="125" t="s">
        <v>97</v>
      </c>
      <c r="C30" s="10">
        <v>700</v>
      </c>
      <c r="D30" s="550">
        <v>565</v>
      </c>
      <c r="E30" s="736"/>
      <c r="F30" s="551"/>
      <c r="G30" s="550">
        <v>750</v>
      </c>
      <c r="H30" s="551"/>
      <c r="I30" s="10">
        <v>565</v>
      </c>
      <c r="J30" s="10">
        <v>659</v>
      </c>
      <c r="K30" s="580">
        <v>850</v>
      </c>
      <c r="L30" s="581"/>
      <c r="M30" s="3"/>
    </row>
    <row r="31" spans="1:13" ht="26.25" customHeight="1">
      <c r="A31" s="321" t="s">
        <v>278</v>
      </c>
      <c r="B31" s="319"/>
      <c r="C31" s="319">
        <v>115</v>
      </c>
      <c r="D31" s="319"/>
      <c r="E31" s="319"/>
      <c r="F31" s="319"/>
      <c r="G31" s="319"/>
      <c r="H31" s="319"/>
      <c r="I31" s="319"/>
      <c r="J31" s="319"/>
      <c r="K31" s="319"/>
      <c r="L31" s="320"/>
      <c r="M31" s="3"/>
    </row>
  </sheetData>
  <mergeCells count="36">
    <mergeCell ref="D29:F29"/>
    <mergeCell ref="G29:H29"/>
    <mergeCell ref="K29:L29"/>
    <mergeCell ref="D30:F30"/>
    <mergeCell ref="G30:H30"/>
    <mergeCell ref="K30:L30"/>
    <mergeCell ref="A24:D24"/>
    <mergeCell ref="A25:D25"/>
    <mergeCell ref="A27:L27"/>
    <mergeCell ref="D28:F28"/>
    <mergeCell ref="G28:H28"/>
    <mergeCell ref="K28:L28"/>
    <mergeCell ref="A26:D26"/>
    <mergeCell ref="H19:K20"/>
    <mergeCell ref="A20:D21"/>
    <mergeCell ref="A22:D22"/>
    <mergeCell ref="A23:D23"/>
    <mergeCell ref="A12:D13"/>
    <mergeCell ref="H13:L14"/>
    <mergeCell ref="H15:K16"/>
    <mergeCell ref="A16:E17"/>
    <mergeCell ref="H17:K18"/>
    <mergeCell ref="A18:D19"/>
    <mergeCell ref="A5:D5"/>
    <mergeCell ref="A6:D7"/>
    <mergeCell ref="H7:L8"/>
    <mergeCell ref="A8:D9"/>
    <mergeCell ref="H9:K10"/>
    <mergeCell ref="A10:D11"/>
    <mergeCell ref="A4:D4"/>
    <mergeCell ref="H4:K4"/>
    <mergeCell ref="A1:M1"/>
    <mergeCell ref="A2:E2"/>
    <mergeCell ref="H2:L2"/>
    <mergeCell ref="A3:D3"/>
    <mergeCell ref="H3:K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Blad35">
    <tabColor rgb="FFFFC000"/>
    <pageSetUpPr fitToPage="1"/>
  </sheetPr>
  <dimension ref="A1:M31"/>
  <sheetViews>
    <sheetView workbookViewId="0">
      <selection sqref="A1:M1"/>
    </sheetView>
  </sheetViews>
  <sheetFormatPr defaultRowHeight="12.75"/>
  <cols>
    <col min="1" max="1" width="13.1640625" customWidth="1"/>
    <col min="2" max="2" width="11.83203125" customWidth="1"/>
    <col min="3" max="3" width="14.6640625" customWidth="1"/>
    <col min="4" max="4" width="2.83203125" customWidth="1"/>
    <col min="5" max="5" width="14.33203125" customWidth="1"/>
    <col min="6" max="6" width="3.33203125" customWidth="1"/>
    <col min="7" max="7" width="3.1640625" customWidth="1"/>
    <col min="8" max="8" width="10.6640625" customWidth="1"/>
    <col min="9" max="9" width="15.83203125" customWidth="1"/>
    <col min="10" max="10" width="13.5" customWidth="1"/>
    <col min="11" max="11" width="2.6640625" customWidth="1"/>
    <col min="12" max="12" width="11.5" customWidth="1"/>
    <col min="13" max="13" width="14" customWidth="1"/>
  </cols>
  <sheetData>
    <row r="1" spans="1:13" ht="50.1" customHeight="1">
      <c r="A1" s="768" t="s">
        <v>192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</row>
    <row r="2" spans="1:13" ht="27" customHeight="1">
      <c r="A2" s="864" t="s">
        <v>165</v>
      </c>
      <c r="B2" s="864"/>
      <c r="C2" s="864"/>
      <c r="D2" s="864"/>
      <c r="E2" s="864"/>
      <c r="F2" s="3"/>
      <c r="G2" s="3"/>
      <c r="H2" s="864" t="s">
        <v>67</v>
      </c>
      <c r="I2" s="864"/>
      <c r="J2" s="864"/>
      <c r="K2" s="864"/>
      <c r="L2" s="864"/>
      <c r="M2" s="455"/>
    </row>
    <row r="3" spans="1:13" ht="26.1" customHeight="1">
      <c r="A3" s="539" t="s">
        <v>506</v>
      </c>
      <c r="B3" s="540"/>
      <c r="C3" s="540"/>
      <c r="D3" s="541"/>
      <c r="E3" s="15">
        <f>(('Opties rolluiken (2)'!E3/(1+Korting!$B$3)*(1-Korting!$B$2)*Prijsmutaties!$G$9))</f>
        <v>-82.022887603305776</v>
      </c>
      <c r="F3" s="3"/>
      <c r="G3" s="3"/>
      <c r="H3" s="813"/>
      <c r="I3" s="884"/>
      <c r="J3" s="884"/>
      <c r="K3" s="884"/>
      <c r="L3" s="884"/>
      <c r="M3" s="270"/>
    </row>
    <row r="4" spans="1:13" ht="24.95" customHeight="1">
      <c r="A4" s="542" t="s">
        <v>505</v>
      </c>
      <c r="B4" s="543"/>
      <c r="C4" s="543"/>
      <c r="D4" s="544"/>
      <c r="E4" s="10">
        <f>(('Opties rolluiken (2)'!E4/(1+Korting!$B$3)*(1-Korting!$B$2)*Prijsmutaties!$G$9))</f>
        <v>8.1121537190082638</v>
      </c>
      <c r="F4" s="3"/>
      <c r="G4" s="3"/>
      <c r="H4" s="885" t="s">
        <v>70</v>
      </c>
      <c r="I4" s="886"/>
      <c r="J4" s="886"/>
      <c r="K4" s="886"/>
      <c r="L4" s="886"/>
      <c r="M4" s="271">
        <f>(('Opties &amp; accessories (2)'!Y5/(1+Korting!$B$3)*(1-Korting!$B$2)*Prijsmutaties!$G$9))</f>
        <v>9.0135041322314056</v>
      </c>
    </row>
    <row r="5" spans="1:13" ht="26.1" customHeight="1">
      <c r="A5" s="539" t="s">
        <v>9</v>
      </c>
      <c r="B5" s="540"/>
      <c r="C5" s="540"/>
      <c r="D5" s="541"/>
      <c r="E5" s="15">
        <f>(('Opties rolluiken (2)'!E5/(1+Korting!$B$3)*(1-Korting!$B$2)*Prijsmutaties!$G$9))</f>
        <v>63.094528925619827</v>
      </c>
      <c r="F5" s="3"/>
      <c r="G5" s="3"/>
      <c r="H5" s="813" t="s">
        <v>72</v>
      </c>
      <c r="I5" s="884"/>
      <c r="J5" s="884"/>
      <c r="K5" s="884"/>
      <c r="L5" s="884"/>
      <c r="M5" s="270">
        <f>(('Opties &amp; accessories (2)'!Y6/(1+Korting!$B$3)*(1-Korting!$B$2)*Prijsmutaties!$G$9))</f>
        <v>11.717555371900826</v>
      </c>
    </row>
    <row r="6" spans="1:13" ht="16.5">
      <c r="A6" s="848" t="s">
        <v>57</v>
      </c>
      <c r="B6" s="604"/>
      <c r="C6" s="604"/>
      <c r="D6" s="849"/>
      <c r="E6" s="317">
        <f>(('Opties rolluiken (2)'!E6/(1+Korting!$B$3)*(1-Korting!$B$2)*Prijsmutaties!$G$9))</f>
        <v>96.44449421487603</v>
      </c>
      <c r="F6" s="2"/>
      <c r="G6" s="2"/>
      <c r="H6" s="885" t="s">
        <v>74</v>
      </c>
      <c r="I6" s="886"/>
      <c r="J6" s="886"/>
      <c r="K6" s="886"/>
      <c r="L6" s="886"/>
      <c r="M6" s="271">
        <f>(('Opties &amp; accessories (2)'!Y7/(1+Korting!$B$3)*(1-Korting!$B$2)*Prijsmutaties!$G$9))</f>
        <v>17.125657851239669</v>
      </c>
    </row>
    <row r="7" spans="1:13" ht="19.5" customHeight="1">
      <c r="A7" s="880"/>
      <c r="B7" s="881"/>
      <c r="C7" s="881"/>
      <c r="D7" s="882"/>
      <c r="E7" s="492"/>
      <c r="F7" s="3"/>
      <c r="G7" s="3"/>
      <c r="H7" s="813" t="s">
        <v>76</v>
      </c>
      <c r="I7" s="884"/>
      <c r="J7" s="884"/>
      <c r="K7" s="884"/>
      <c r="L7" s="884"/>
      <c r="M7" s="270">
        <f>(('Opties &amp; accessories (2)'!Y8/(1+Korting!$B$3)*(1-Korting!$B$2)*Prijsmutaties!$G$9))</f>
        <v>24.336461157024793</v>
      </c>
    </row>
    <row r="8" spans="1:13" ht="16.5">
      <c r="A8" s="493"/>
      <c r="B8" s="493"/>
      <c r="C8" s="493"/>
      <c r="D8" s="493"/>
      <c r="E8" s="176"/>
      <c r="F8" s="2"/>
      <c r="G8" s="2"/>
      <c r="H8" s="885" t="s">
        <v>78</v>
      </c>
      <c r="I8" s="886"/>
      <c r="J8" s="886"/>
      <c r="K8" s="886"/>
      <c r="L8" s="886"/>
      <c r="M8" s="271">
        <f>(('Opties &amp; accessories (2)'!Y9/(1+Korting!$B$3)*(1-Korting!$B$2)*Prijsmutaties!$G$9))</f>
        <v>51.376973553719004</v>
      </c>
    </row>
    <row r="9" spans="1:13" ht="16.5">
      <c r="A9" s="493"/>
      <c r="B9" s="493"/>
      <c r="C9" s="493"/>
      <c r="D9" s="493"/>
      <c r="E9" s="176"/>
      <c r="F9" s="3"/>
      <c r="G9" s="3"/>
      <c r="H9" s="806" t="s">
        <v>312</v>
      </c>
      <c r="I9" s="887"/>
      <c r="J9" s="887"/>
      <c r="K9" s="887"/>
      <c r="L9" s="887"/>
      <c r="M9" s="270">
        <f>(('Opties &amp; accessories (2)'!Y10/(1+Korting!$B$3)*(1-Korting!$B$2)*Prijsmutaties!$G$9))</f>
        <v>133.85053636363637</v>
      </c>
    </row>
    <row r="10" spans="1:13" ht="21" customHeight="1">
      <c r="A10" s="888" t="s">
        <v>507</v>
      </c>
      <c r="B10" s="867"/>
      <c r="C10" s="867"/>
      <c r="D10" s="867"/>
      <c r="E10" s="867"/>
      <c r="F10" s="2"/>
      <c r="G10" s="2"/>
      <c r="M10" s="2"/>
    </row>
    <row r="11" spans="1:13" ht="21" customHeight="1">
      <c r="A11" s="864"/>
      <c r="B11" s="864"/>
      <c r="C11" s="864"/>
      <c r="D11" s="864"/>
      <c r="E11" s="864"/>
      <c r="F11" s="2"/>
      <c r="G11" s="2"/>
      <c r="H11" s="2"/>
      <c r="I11" s="2"/>
      <c r="J11" s="2"/>
      <c r="K11" s="2"/>
      <c r="L11" s="2"/>
      <c r="M11" s="2"/>
    </row>
    <row r="12" spans="1:13" ht="21" customHeight="1">
      <c r="A12" s="693" t="s">
        <v>201</v>
      </c>
      <c r="B12" s="694"/>
      <c r="C12" s="694"/>
      <c r="D12" s="695"/>
      <c r="E12" s="260">
        <f>(('Opties rolluiken (2)'!E18/(1+Korting!$B$3)*(1-Korting!$B$2)*Prijsmutaties!$G$9))</f>
        <v>0</v>
      </c>
      <c r="F12" s="2"/>
      <c r="G12" s="2"/>
      <c r="H12" s="864" t="s">
        <v>56</v>
      </c>
      <c r="I12" s="864"/>
      <c r="J12" s="864"/>
      <c r="K12" s="864"/>
      <c r="L12" s="864"/>
      <c r="M12" s="2"/>
    </row>
    <row r="13" spans="1:13" ht="20.100000000000001" customHeight="1">
      <c r="A13" s="699"/>
      <c r="B13" s="700"/>
      <c r="C13" s="700"/>
      <c r="D13" s="701"/>
      <c r="E13" s="261"/>
      <c r="F13" s="3"/>
      <c r="G13" s="3"/>
      <c r="H13" s="874" t="s">
        <v>377</v>
      </c>
      <c r="I13" s="875"/>
      <c r="J13" s="875"/>
      <c r="K13" s="876"/>
      <c r="L13" s="384">
        <f>(('Optie Knik (2)'!F17/(1+Korting!$B$3)*(1-Korting!$B$2)*Prijsmutaties!$G$9))</f>
        <v>24.336461157024793</v>
      </c>
      <c r="M13" s="2"/>
    </row>
    <row r="14" spans="1:13" ht="36" customHeight="1">
      <c r="A14" s="848" t="s">
        <v>202</v>
      </c>
      <c r="B14" s="604"/>
      <c r="C14" s="604"/>
      <c r="D14" s="849"/>
      <c r="E14" s="262">
        <f>(('Opties rolluiken (2)'!E20/(1+Korting!$B$3)*(1-Korting!$B$2)*Prijsmutaties!$G$9))</f>
        <v>0</v>
      </c>
      <c r="F14" s="2"/>
      <c r="G14" s="2"/>
      <c r="H14" s="877" t="s">
        <v>378</v>
      </c>
      <c r="I14" s="878"/>
      <c r="J14" s="878"/>
      <c r="K14" s="879"/>
      <c r="L14" s="385">
        <f>(('Optie Knik (2)'!F18/(1+Korting!$B$3)*(1-Korting!$B$2)*Prijsmutaties!$G$9))</f>
        <v>32.448614876033055</v>
      </c>
      <c r="M14" s="2"/>
    </row>
    <row r="15" spans="1:13" ht="18.95" customHeight="1">
      <c r="A15" s="840"/>
      <c r="B15" s="841"/>
      <c r="C15" s="841"/>
      <c r="D15" s="842"/>
      <c r="E15" s="263"/>
      <c r="F15" s="2"/>
      <c r="G15" s="2"/>
      <c r="H15" s="892" t="s">
        <v>379</v>
      </c>
      <c r="I15" s="893"/>
      <c r="J15" s="893"/>
      <c r="K15" s="894"/>
      <c r="L15" s="384">
        <f>(('Optie Knik (2)'!F19/(1+Korting!$B$3)*(1-Korting!$B$2)*Prijsmutaties!$G$9))</f>
        <v>48.672922314049586</v>
      </c>
      <c r="M15" s="2"/>
    </row>
    <row r="16" spans="1:13" ht="26.1" customHeight="1">
      <c r="A16" s="539" t="s">
        <v>203</v>
      </c>
      <c r="B16" s="540"/>
      <c r="C16" s="540"/>
      <c r="D16" s="541"/>
      <c r="E16" s="15">
        <f>(('Opties rolluiken (2)'!E22/(1+Korting!$B$3)*(1-Korting!$B$2)*Prijsmutaties!$G$9))</f>
        <v>11.717555371900826</v>
      </c>
      <c r="F16" s="3"/>
      <c r="G16" s="3"/>
      <c r="H16" s="883"/>
      <c r="I16" s="878"/>
      <c r="J16" s="878"/>
      <c r="K16" s="879"/>
      <c r="L16" s="385"/>
      <c r="M16" s="3"/>
    </row>
    <row r="17" spans="1:13" ht="24.95" customHeight="1">
      <c r="A17" s="542" t="s">
        <v>204</v>
      </c>
      <c r="B17" s="543"/>
      <c r="C17" s="543"/>
      <c r="D17" s="544"/>
      <c r="E17" s="10">
        <f>(('Opties rolluiken (2)'!E23/(1+Korting!$B$3)*(1-Korting!$B$2)*Prijsmutaties!$G$9))</f>
        <v>11.717555371900826</v>
      </c>
      <c r="F17" s="3"/>
      <c r="G17" s="3"/>
      <c r="H17" s="3"/>
      <c r="I17" s="3"/>
      <c r="J17" s="3"/>
      <c r="K17" s="3"/>
      <c r="L17" s="3"/>
      <c r="M17" s="3"/>
    </row>
    <row r="18" spans="1:13" ht="26.1" customHeight="1">
      <c r="A18" s="539" t="s">
        <v>205</v>
      </c>
      <c r="B18" s="540"/>
      <c r="C18" s="540"/>
      <c r="D18" s="541"/>
      <c r="E18" s="15">
        <f>(('Opties rolluiken (2)'!E24/(1+Korting!$B$3)*(1-Korting!$B$2)*Prijsmutaties!$G$9))</f>
        <v>16.224307438016528</v>
      </c>
      <c r="F18" s="3"/>
      <c r="G18" s="3"/>
      <c r="H18" s="864" t="s">
        <v>49</v>
      </c>
      <c r="I18" s="864"/>
      <c r="J18" s="864"/>
      <c r="K18" s="864"/>
      <c r="L18" s="864"/>
      <c r="M18" s="3"/>
    </row>
    <row r="19" spans="1:13" ht="25.5" customHeight="1">
      <c r="A19" s="542" t="s">
        <v>206</v>
      </c>
      <c r="B19" s="543"/>
      <c r="C19" s="543"/>
      <c r="D19" s="544"/>
      <c r="E19" s="10">
        <f>(('Opties rolluiken (2)'!E25/(1+Korting!$B$3)*(1-Korting!$B$2)*Prijsmutaties!$G$9))</f>
        <v>20.731059504132229</v>
      </c>
      <c r="F19" s="3"/>
      <c r="G19" s="3"/>
      <c r="H19" s="874" t="s">
        <v>377</v>
      </c>
      <c r="I19" s="875"/>
      <c r="J19" s="875"/>
      <c r="K19" s="876"/>
      <c r="L19" s="384">
        <f>(('Optie Knik (2)'!F12/(1+Korting!$B$3)*(1-Korting!$B$2)*Prijsmutaties!$G$9))</f>
        <v>32.448614876033055</v>
      </c>
      <c r="M19" s="3"/>
    </row>
    <row r="20" spans="1:13" ht="25.5" customHeight="1">
      <c r="A20" s="605" t="s">
        <v>337</v>
      </c>
      <c r="B20" s="540"/>
      <c r="C20" s="540"/>
      <c r="D20" s="541"/>
      <c r="E20" s="15">
        <f>(('Opties rolluiken (2)'!E26/(1+Korting!$B$3)*(1-Korting!$B$2)*Prijsmutaties!$G$9))</f>
        <v>20.731059504132229</v>
      </c>
      <c r="F20" s="3"/>
      <c r="G20" s="3"/>
      <c r="H20" s="877" t="s">
        <v>378</v>
      </c>
      <c r="I20" s="878"/>
      <c r="J20" s="878"/>
      <c r="K20" s="879"/>
      <c r="L20" s="385">
        <f>(('Optie Knik (2)'!F13/(1+Korting!$B$3)*(1-Korting!$B$2)*Prijsmutaties!$G$9))</f>
        <v>44.616845454545455</v>
      </c>
      <c r="M20" s="3"/>
    </row>
    <row r="21" spans="1:13" ht="25.7" customHeight="1">
      <c r="F21" s="3"/>
      <c r="G21" s="3"/>
      <c r="H21" s="892" t="s">
        <v>379</v>
      </c>
      <c r="I21" s="893"/>
      <c r="J21" s="893"/>
      <c r="K21" s="894"/>
      <c r="L21" s="384">
        <f>(('Optie Knik (2)'!F14/(1+Korting!$B$3)*(1-Korting!$B$2)*Prijsmutaties!$G$9))</f>
        <v>80.220186776859492</v>
      </c>
      <c r="M21" s="3"/>
    </row>
    <row r="22" spans="1:13" ht="23.45" customHeight="1">
      <c r="A22" s="891" t="s">
        <v>194</v>
      </c>
      <c r="B22" s="891"/>
      <c r="C22" s="891"/>
      <c r="D22" s="891"/>
      <c r="E22" s="891"/>
    </row>
    <row r="23" spans="1:13" ht="30.75" customHeight="1">
      <c r="A23" s="895" t="s">
        <v>368</v>
      </c>
      <c r="B23" s="816"/>
      <c r="C23" s="816"/>
      <c r="D23" s="666"/>
      <c r="E23" s="456">
        <f>(('Opties rolluiken (2)'!L9/(1+Korting!$B$3)*(1-Korting!$B$2)*Prijsmutaties!$G$9))</f>
        <v>109.96475041322313</v>
      </c>
    </row>
    <row r="24" spans="1:13" ht="16.5" customHeight="1">
      <c r="A24" s="1"/>
      <c r="B24" s="1"/>
      <c r="C24" s="1"/>
      <c r="D24" s="1"/>
      <c r="E24" s="281"/>
    </row>
    <row r="26" spans="1:13" ht="26.25" customHeight="1">
      <c r="A26" s="889" t="s">
        <v>207</v>
      </c>
      <c r="B26" s="890"/>
      <c r="C26" s="890"/>
      <c r="D26" s="890"/>
      <c r="E26" s="890"/>
      <c r="F26" s="890"/>
      <c r="G26" s="890"/>
      <c r="H26" s="890"/>
      <c r="I26" s="890"/>
      <c r="J26" s="890"/>
      <c r="K26" s="890"/>
      <c r="L26" s="890"/>
      <c r="M26" s="890"/>
    </row>
    <row r="27" spans="1:13" ht="33">
      <c r="A27" s="111"/>
      <c r="B27" s="105" t="s">
        <v>90</v>
      </c>
      <c r="C27" s="105" t="s">
        <v>208</v>
      </c>
      <c r="D27" s="682" t="s">
        <v>209</v>
      </c>
      <c r="E27" s="821"/>
      <c r="F27" s="683"/>
      <c r="G27" s="872" t="s">
        <v>210</v>
      </c>
      <c r="H27" s="873"/>
      <c r="I27" s="105" t="s">
        <v>211</v>
      </c>
      <c r="J27" s="105" t="s">
        <v>212</v>
      </c>
      <c r="K27" s="680" t="s">
        <v>213</v>
      </c>
      <c r="L27" s="681"/>
      <c r="M27" s="416" t="s">
        <v>336</v>
      </c>
    </row>
    <row r="28" spans="1:13" ht="26.25" customHeight="1">
      <c r="A28" s="101" t="s">
        <v>214</v>
      </c>
      <c r="B28" s="15">
        <v>400</v>
      </c>
      <c r="C28" s="15">
        <v>700</v>
      </c>
      <c r="D28" s="552">
        <v>565</v>
      </c>
      <c r="E28" s="735"/>
      <c r="F28" s="553"/>
      <c r="G28" s="552">
        <v>750</v>
      </c>
      <c r="H28" s="553"/>
      <c r="I28" s="15">
        <v>565</v>
      </c>
      <c r="J28" s="15">
        <v>640</v>
      </c>
      <c r="K28" s="582">
        <v>785</v>
      </c>
      <c r="L28" s="583"/>
      <c r="M28" s="184">
        <v>560</v>
      </c>
    </row>
    <row r="29" spans="1:13" ht="26.25" customHeight="1">
      <c r="A29" s="105" t="s">
        <v>215</v>
      </c>
      <c r="B29" s="125">
        <v>400</v>
      </c>
      <c r="C29" s="10">
        <v>700</v>
      </c>
      <c r="D29" s="550">
        <v>565</v>
      </c>
      <c r="E29" s="736"/>
      <c r="F29" s="551"/>
      <c r="G29" s="550">
        <v>750</v>
      </c>
      <c r="H29" s="551"/>
      <c r="I29" s="10">
        <v>565</v>
      </c>
      <c r="J29" s="10">
        <v>640</v>
      </c>
      <c r="K29" s="580">
        <v>785</v>
      </c>
      <c r="L29" s="581"/>
      <c r="M29" s="412">
        <v>560</v>
      </c>
    </row>
    <row r="30" spans="1:13" ht="26.25" customHeight="1">
      <c r="A30" s="318" t="s">
        <v>277</v>
      </c>
      <c r="B30" s="187"/>
      <c r="C30" s="454">
        <f>(('Opties rolluiken (2)'!C31/(1+Korting!$B$3)*(1-Korting!$B$2)*Prijsmutaties!$G$9))</f>
        <v>103.65529752066115</v>
      </c>
      <c r="D30" s="187"/>
      <c r="E30" s="187"/>
      <c r="F30" s="187"/>
      <c r="G30" s="187"/>
      <c r="H30" s="187"/>
      <c r="I30" s="187"/>
      <c r="J30" s="187"/>
      <c r="K30" s="187"/>
      <c r="L30" s="309"/>
      <c r="M30" s="3"/>
    </row>
    <row r="31" spans="1:13" ht="26.25" customHeight="1"/>
  </sheetData>
  <sheetProtection algorithmName="SHA-512" hashValue="93z2MJXmy6RApm6f3uM6twalKtI38BE7CGKpqWHRz3WBb1TODR6laIK7vh1Ga8lhugZ+tILWpQnlWVGIqNc6Og==" saltValue="s3+UhTb98rPHg680E+UkyQ==" spinCount="100000" sheet="1" objects="1" scenarios="1"/>
  <mergeCells count="43">
    <mergeCell ref="H2:L2"/>
    <mergeCell ref="H3:L3"/>
    <mergeCell ref="H4:L4"/>
    <mergeCell ref="H5:L5"/>
    <mergeCell ref="H6:L6"/>
    <mergeCell ref="A26:M26"/>
    <mergeCell ref="A20:D20"/>
    <mergeCell ref="A22:E22"/>
    <mergeCell ref="H12:L12"/>
    <mergeCell ref="H13:K13"/>
    <mergeCell ref="H14:K14"/>
    <mergeCell ref="H15:K15"/>
    <mergeCell ref="A16:D16"/>
    <mergeCell ref="A17:D17"/>
    <mergeCell ref="A18:D18"/>
    <mergeCell ref="A19:D19"/>
    <mergeCell ref="A23:D23"/>
    <mergeCell ref="H21:K21"/>
    <mergeCell ref="D29:F29"/>
    <mergeCell ref="G29:H29"/>
    <mergeCell ref="K29:L29"/>
    <mergeCell ref="D27:F27"/>
    <mergeCell ref="G27:H27"/>
    <mergeCell ref="K27:L27"/>
    <mergeCell ref="D28:F28"/>
    <mergeCell ref="G28:H28"/>
    <mergeCell ref="K28:L28"/>
    <mergeCell ref="A1:M1"/>
    <mergeCell ref="A2:E2"/>
    <mergeCell ref="A3:D3"/>
    <mergeCell ref="H19:K19"/>
    <mergeCell ref="H20:K20"/>
    <mergeCell ref="A4:D4"/>
    <mergeCell ref="A5:D5"/>
    <mergeCell ref="A6:D7"/>
    <mergeCell ref="H16:K16"/>
    <mergeCell ref="A12:D13"/>
    <mergeCell ref="A14:D15"/>
    <mergeCell ref="H18:L18"/>
    <mergeCell ref="H7:L7"/>
    <mergeCell ref="H8:L8"/>
    <mergeCell ref="H9:L9"/>
    <mergeCell ref="A10:E11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&amp;L&amp;D&amp;C&amp;F
Tabblad &amp;A&amp;RInkoopprijslijst excl. BTW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C20A-BFA3-4267-BF60-BCF1EC80728F}">
  <sheetPr codeName="Blad36">
    <tabColor theme="6" tint="-0.499984740745262"/>
  </sheetPr>
  <dimension ref="A1:O35"/>
  <sheetViews>
    <sheetView topLeftCell="A14" workbookViewId="0">
      <selection activeCell="E36" sqref="E36"/>
    </sheetView>
  </sheetViews>
  <sheetFormatPr defaultRowHeight="12.75"/>
  <cols>
    <col min="1" max="2" width="7.1640625" customWidth="1"/>
    <col min="3" max="3" width="24.5" customWidth="1"/>
    <col min="4" max="4" width="11.83203125" customWidth="1"/>
    <col min="5" max="5" width="7.83203125" customWidth="1"/>
    <col min="6" max="6" width="10.1640625" bestFit="1" customWidth="1"/>
    <col min="7" max="7" width="24.5" customWidth="1"/>
    <col min="8" max="8" width="11.1640625" customWidth="1"/>
    <col min="9" max="9" width="8.5" customWidth="1"/>
    <col min="10" max="10" width="7.83203125" customWidth="1"/>
    <col min="11" max="11" width="24.5" customWidth="1"/>
    <col min="12" max="12" width="12" customWidth="1"/>
    <col min="13" max="13" width="7.83203125" customWidth="1"/>
    <col min="14" max="14" width="7.33203125" customWidth="1"/>
    <col min="15" max="15" width="6.83203125" customWidth="1"/>
  </cols>
  <sheetData>
    <row r="1" spans="1:15" ht="53.25" customHeight="1">
      <c r="A1" s="537" t="s">
        <v>226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</row>
    <row r="2" spans="1:15" ht="24" customHeight="1">
      <c r="A2" s="904" t="s">
        <v>267</v>
      </c>
      <c r="B2" s="905"/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3"/>
    </row>
    <row r="3" spans="1:15" ht="6" customHeight="1">
      <c r="A3" s="2"/>
      <c r="B3" s="2"/>
      <c r="C3" s="2"/>
      <c r="D3" s="2"/>
      <c r="E3" s="2"/>
      <c r="F3" s="2"/>
      <c r="H3" s="311"/>
      <c r="I3" s="2"/>
      <c r="J3" s="2"/>
      <c r="K3" s="2"/>
      <c r="L3" s="2"/>
      <c r="M3" s="2"/>
      <c r="N3" s="2"/>
      <c r="O3" s="2"/>
    </row>
    <row r="4" spans="1:15" ht="33" customHeight="1">
      <c r="B4" s="311"/>
      <c r="C4" s="906" t="s">
        <v>217</v>
      </c>
      <c r="D4" s="907"/>
      <c r="E4" s="907"/>
      <c r="F4" s="908"/>
      <c r="G4" s="906" t="s">
        <v>216</v>
      </c>
      <c r="H4" s="907"/>
      <c r="I4" s="907"/>
      <c r="J4" s="908"/>
      <c r="K4" s="906" t="s">
        <v>218</v>
      </c>
      <c r="L4" s="907"/>
      <c r="M4" s="907"/>
      <c r="N4" s="908"/>
      <c r="O4" s="311"/>
    </row>
    <row r="5" spans="1:15" ht="24.95" customHeight="1">
      <c r="A5" s="311"/>
      <c r="B5" s="311"/>
      <c r="C5" s="909"/>
      <c r="D5" s="910"/>
      <c r="E5" s="910"/>
      <c r="F5" s="911"/>
      <c r="G5" s="909"/>
      <c r="H5" s="910"/>
      <c r="I5" s="910"/>
      <c r="J5" s="911"/>
      <c r="K5" s="909"/>
      <c r="L5" s="910"/>
      <c r="M5" s="910"/>
      <c r="N5" s="911"/>
      <c r="O5" s="3"/>
    </row>
    <row r="6" spans="1:15" ht="18" customHeight="1">
      <c r="A6" s="902" t="s">
        <v>142</v>
      </c>
      <c r="B6" s="903"/>
      <c r="C6" s="402" t="s">
        <v>130</v>
      </c>
      <c r="D6" s="403" t="s">
        <v>219</v>
      </c>
      <c r="E6" s="402" t="s">
        <v>220</v>
      </c>
      <c r="F6" s="405" t="s">
        <v>221</v>
      </c>
      <c r="G6" s="402" t="s">
        <v>130</v>
      </c>
      <c r="H6" s="403" t="s">
        <v>219</v>
      </c>
      <c r="I6" s="404" t="s">
        <v>220</v>
      </c>
      <c r="J6" s="403" t="s">
        <v>221</v>
      </c>
      <c r="K6" s="402" t="s">
        <v>130</v>
      </c>
      <c r="L6" s="403" t="s">
        <v>219</v>
      </c>
      <c r="M6" s="402" t="s">
        <v>220</v>
      </c>
      <c r="N6" s="403" t="s">
        <v>221</v>
      </c>
      <c r="O6" s="2"/>
    </row>
    <row r="7" spans="1:15" ht="29.1" customHeight="1">
      <c r="A7" s="148" t="s">
        <v>143</v>
      </c>
      <c r="B7" s="144" t="s">
        <v>144</v>
      </c>
      <c r="C7" s="105" t="s">
        <v>133</v>
      </c>
      <c r="D7" s="101" t="s">
        <v>222</v>
      </c>
      <c r="E7" s="105" t="s">
        <v>134</v>
      </c>
      <c r="F7" s="259" t="s">
        <v>223</v>
      </c>
      <c r="G7" s="105" t="s">
        <v>133</v>
      </c>
      <c r="H7" s="101" t="s">
        <v>222</v>
      </c>
      <c r="I7" s="143" t="s">
        <v>134</v>
      </c>
      <c r="J7" s="121" t="s">
        <v>223</v>
      </c>
      <c r="K7" s="105" t="s">
        <v>133</v>
      </c>
      <c r="L7" s="101" t="s">
        <v>222</v>
      </c>
      <c r="M7" s="105" t="s">
        <v>134</v>
      </c>
      <c r="N7" s="121" t="s">
        <v>227</v>
      </c>
      <c r="O7" s="3"/>
    </row>
    <row r="8" spans="1:15" ht="18" customHeight="1">
      <c r="A8" s="145"/>
      <c r="B8" s="145"/>
      <c r="C8" s="18"/>
      <c r="D8" s="8"/>
      <c r="E8" s="18"/>
      <c r="F8" s="171"/>
      <c r="G8" s="18"/>
      <c r="H8" s="8"/>
      <c r="I8" s="18"/>
      <c r="J8" s="8"/>
      <c r="K8" s="18"/>
      <c r="L8" s="8"/>
      <c r="M8" s="18"/>
      <c r="N8" s="8"/>
      <c r="O8" s="2"/>
    </row>
    <row r="9" spans="1:15" ht="18" customHeight="1">
      <c r="A9" s="146">
        <f>B9*0.7</f>
        <v>91.046182846371352</v>
      </c>
      <c r="B9" s="146">
        <v>130.06597549481623</v>
      </c>
      <c r="C9" s="13">
        <v>140</v>
      </c>
      <c r="D9" s="15">
        <v>692.74269557021682</v>
      </c>
      <c r="E9" s="10">
        <v>1208.2940622054666</v>
      </c>
      <c r="F9" s="256">
        <v>86.710650329877481</v>
      </c>
      <c r="G9" s="13">
        <v>140</v>
      </c>
      <c r="H9" s="15">
        <v>723.84542884071629</v>
      </c>
      <c r="I9" s="41">
        <v>1235.6267672007541</v>
      </c>
      <c r="J9" s="15">
        <v>101.79076343072573</v>
      </c>
      <c r="K9" s="13">
        <v>140</v>
      </c>
      <c r="L9" s="15">
        <v>740.81055607917062</v>
      </c>
      <c r="M9" s="10">
        <v>1259.1894439208295</v>
      </c>
      <c r="N9" s="15">
        <v>107.44580584354384</v>
      </c>
      <c r="O9" s="2"/>
    </row>
    <row r="10" spans="1:15" ht="18" customHeight="1">
      <c r="A10" s="146">
        <f t="shared" ref="A10:A32" si="0">B10*0.7</f>
        <v>111.49858623939679</v>
      </c>
      <c r="B10" s="146">
        <v>159.28369462770971</v>
      </c>
      <c r="C10" s="13">
        <v>160</v>
      </c>
      <c r="D10" s="15">
        <v>723.84542884071629</v>
      </c>
      <c r="E10" s="10">
        <v>1235.6267672007541</v>
      </c>
      <c r="F10" s="256">
        <v>86.710650329877481</v>
      </c>
      <c r="G10" s="13">
        <v>160</v>
      </c>
      <c r="H10" s="15">
        <v>755.8906691800189</v>
      </c>
      <c r="I10" s="41">
        <v>1274.2695570216777</v>
      </c>
      <c r="J10" s="15">
        <v>101.79076343072573</v>
      </c>
      <c r="K10" s="13">
        <v>160</v>
      </c>
      <c r="L10" s="15">
        <v>780.39585296889732</v>
      </c>
      <c r="M10" s="10">
        <v>1289.349670122526</v>
      </c>
      <c r="N10" s="15">
        <v>107.44580584354384</v>
      </c>
      <c r="O10" s="2"/>
    </row>
    <row r="11" spans="1:15" ht="18.95" customHeight="1">
      <c r="A11" s="146">
        <f t="shared" si="0"/>
        <v>111.49858623939679</v>
      </c>
      <c r="B11" s="146">
        <v>159.28369462770971</v>
      </c>
      <c r="C11" s="13">
        <v>180</v>
      </c>
      <c r="D11" s="15">
        <v>755.8906691800189</v>
      </c>
      <c r="E11" s="10">
        <v>1272.3845428840716</v>
      </c>
      <c r="F11" s="256">
        <v>86.710650329877481</v>
      </c>
      <c r="G11" s="13">
        <v>180</v>
      </c>
      <c r="H11" s="15">
        <v>793.59095193213955</v>
      </c>
      <c r="I11" s="41">
        <v>1307.2573044297833</v>
      </c>
      <c r="J11" s="15">
        <v>101.79076343072573</v>
      </c>
      <c r="K11" s="13">
        <v>180</v>
      </c>
      <c r="L11" s="15">
        <v>810.55607917059388</v>
      </c>
      <c r="M11" s="10">
        <v>1327.0499528746466</v>
      </c>
      <c r="N11" s="15">
        <v>107.44580584354384</v>
      </c>
      <c r="O11" s="2"/>
    </row>
    <row r="12" spans="1:15" ht="18" customHeight="1">
      <c r="A12" s="146">
        <f t="shared" si="0"/>
        <v>111.49858623939679</v>
      </c>
      <c r="B12" s="146">
        <v>159.28369462770971</v>
      </c>
      <c r="C12" s="13">
        <v>200</v>
      </c>
      <c r="D12" s="15">
        <v>788.87841658812442</v>
      </c>
      <c r="E12" s="10">
        <v>1305.3722902921772</v>
      </c>
      <c r="F12" s="256">
        <v>86.710650329877481</v>
      </c>
      <c r="G12" s="13">
        <v>200</v>
      </c>
      <c r="H12" s="15">
        <v>825.63619227144204</v>
      </c>
      <c r="I12" s="41">
        <v>1340.2450518378889</v>
      </c>
      <c r="J12" s="15">
        <v>101.79076343072573</v>
      </c>
      <c r="K12" s="13">
        <v>200</v>
      </c>
      <c r="L12" s="15">
        <v>845.42884071630544</v>
      </c>
      <c r="M12" s="10">
        <v>1364.7502356267673</v>
      </c>
      <c r="N12" s="15">
        <v>107.44580584354384</v>
      </c>
      <c r="O12" s="2"/>
    </row>
    <row r="13" spans="1:15" ht="18" customHeight="1">
      <c r="A13" s="146">
        <f t="shared" si="0"/>
        <v>127.99245994344957</v>
      </c>
      <c r="B13" s="146">
        <v>182.84637134778512</v>
      </c>
      <c r="C13" s="13">
        <v>220</v>
      </c>
      <c r="D13" s="15">
        <v>817.15362865221493</v>
      </c>
      <c r="E13" s="10">
        <v>1329.8774740810557</v>
      </c>
      <c r="F13" s="256">
        <v>86.710650329877481</v>
      </c>
      <c r="G13" s="13">
        <v>220</v>
      </c>
      <c r="H13" s="15">
        <v>858.62393967954768</v>
      </c>
      <c r="I13" s="41">
        <v>1375.1178133836004</v>
      </c>
      <c r="J13" s="15">
        <v>101.79076343072573</v>
      </c>
      <c r="K13" s="13">
        <v>220</v>
      </c>
      <c r="L13" s="15">
        <v>885.01413760603214</v>
      </c>
      <c r="M13" s="10">
        <v>1394.9104618284639</v>
      </c>
      <c r="N13" s="15">
        <v>107.44580584354384</v>
      </c>
      <c r="O13" s="2"/>
    </row>
    <row r="14" spans="1:15" ht="18" customHeight="1">
      <c r="A14" s="146">
        <f t="shared" si="0"/>
        <v>127.99245994344957</v>
      </c>
      <c r="B14" s="146">
        <v>182.84637134778512</v>
      </c>
      <c r="C14" s="13">
        <v>240</v>
      </c>
      <c r="D14" s="15">
        <v>847.31385485391149</v>
      </c>
      <c r="E14" s="10">
        <v>1368.5202639019794</v>
      </c>
      <c r="F14" s="256">
        <v>125.35344015080113</v>
      </c>
      <c r="G14" s="13">
        <v>240</v>
      </c>
      <c r="H14" s="15">
        <v>893.49670122525924</v>
      </c>
      <c r="I14" s="41">
        <v>1408.105560791706</v>
      </c>
      <c r="J14" s="15">
        <v>141.37606032045241</v>
      </c>
      <c r="K14" s="13">
        <v>240</v>
      </c>
      <c r="L14" s="15">
        <v>920.82940622054673</v>
      </c>
      <c r="M14" s="10">
        <v>1438.2657869934026</v>
      </c>
      <c r="N14" s="15">
        <v>153.62865221489162</v>
      </c>
      <c r="O14" s="2"/>
    </row>
    <row r="15" spans="1:15" ht="18" customHeight="1">
      <c r="A15" s="146">
        <f t="shared" si="0"/>
        <v>150.42412818096136</v>
      </c>
      <c r="B15" s="146">
        <v>214.89161168708767</v>
      </c>
      <c r="C15" s="13">
        <v>260</v>
      </c>
      <c r="D15" s="15">
        <v>882.18661639962306</v>
      </c>
      <c r="E15" s="10">
        <v>1392.0829406220548</v>
      </c>
      <c r="F15" s="256">
        <v>125.35344015080113</v>
      </c>
      <c r="G15" s="13">
        <v>260</v>
      </c>
      <c r="H15" s="15">
        <v>928.36946277097081</v>
      </c>
      <c r="I15" s="41">
        <v>1445.8058435438268</v>
      </c>
      <c r="J15" s="15">
        <v>141.37606032045241</v>
      </c>
      <c r="K15" s="13">
        <v>260</v>
      </c>
      <c r="L15" s="15">
        <v>955.7021677662583</v>
      </c>
      <c r="M15" s="10">
        <v>1467.4835061262961</v>
      </c>
      <c r="N15" s="15">
        <v>153.62865221489162</v>
      </c>
      <c r="O15" s="2"/>
    </row>
    <row r="16" spans="1:15" ht="18.95" customHeight="1">
      <c r="A16" s="146">
        <f t="shared" si="0"/>
        <v>150.42412818096136</v>
      </c>
      <c r="B16" s="146">
        <v>214.89161168708767</v>
      </c>
      <c r="C16" s="13">
        <v>280</v>
      </c>
      <c r="D16" s="15">
        <v>909.51932139491055</v>
      </c>
      <c r="E16" s="10">
        <v>1432.6107445805844</v>
      </c>
      <c r="F16" s="256">
        <v>125.35344015080113</v>
      </c>
      <c r="G16" s="13">
        <v>280</v>
      </c>
      <c r="H16" s="15">
        <v>961.35721017907645</v>
      </c>
      <c r="I16" s="41">
        <v>1480.6786050895382</v>
      </c>
      <c r="J16" s="15">
        <v>141.37606032045241</v>
      </c>
      <c r="K16" s="13">
        <v>280</v>
      </c>
      <c r="L16" s="15">
        <v>992.45994344957592</v>
      </c>
      <c r="M16" s="10">
        <v>1502.3562676720076</v>
      </c>
      <c r="N16" s="15">
        <v>153.62865221489162</v>
      </c>
      <c r="O16" s="2"/>
    </row>
    <row r="17" spans="1:15" ht="18" customHeight="1">
      <c r="A17" s="146">
        <f t="shared" si="0"/>
        <v>150.42412818096136</v>
      </c>
      <c r="B17" s="146">
        <v>214.89161168708767</v>
      </c>
      <c r="C17" s="13">
        <v>300</v>
      </c>
      <c r="D17" s="15">
        <v>941.56456173421304</v>
      </c>
      <c r="E17" s="10">
        <v>1458.0584354382659</v>
      </c>
      <c r="F17" s="256">
        <v>125.35344015080113</v>
      </c>
      <c r="G17" s="13">
        <v>300</v>
      </c>
      <c r="H17" s="15">
        <v>996.22997172478802</v>
      </c>
      <c r="I17" s="41">
        <v>1515.5513666352499</v>
      </c>
      <c r="J17" s="15">
        <v>141.37606032045241</v>
      </c>
      <c r="K17" s="13">
        <v>300</v>
      </c>
      <c r="L17" s="15">
        <v>1027.3327049952875</v>
      </c>
      <c r="M17" s="10">
        <v>1543.8265786993404</v>
      </c>
      <c r="N17" s="15">
        <v>153.62865221489162</v>
      </c>
      <c r="O17" s="2"/>
    </row>
    <row r="18" spans="1:15" ht="18" customHeight="1">
      <c r="A18" s="146">
        <f t="shared" si="0"/>
        <v>166.91800188501412</v>
      </c>
      <c r="B18" s="146">
        <v>238.45428840716306</v>
      </c>
      <c r="C18" s="13">
        <v>320</v>
      </c>
      <c r="D18" s="15">
        <v>972.66729500471263</v>
      </c>
      <c r="E18" s="10">
        <v>1489.1611687087654</v>
      </c>
      <c r="F18" s="256">
        <v>125.35344015080113</v>
      </c>
      <c r="G18" s="13">
        <v>320</v>
      </c>
      <c r="H18" s="15">
        <v>1033.9302544769087</v>
      </c>
      <c r="I18" s="41">
        <v>1545.7115928369465</v>
      </c>
      <c r="J18" s="15">
        <v>141.37606032045241</v>
      </c>
      <c r="K18" s="13">
        <v>320</v>
      </c>
      <c r="L18" s="15">
        <v>1062.2054665409992</v>
      </c>
      <c r="M18" s="10">
        <v>1574.9293119698398</v>
      </c>
      <c r="N18" s="15">
        <v>153.62865221489162</v>
      </c>
      <c r="O18" s="2"/>
    </row>
    <row r="19" spans="1:15" ht="18" customHeight="1">
      <c r="A19" s="146">
        <f t="shared" si="0"/>
        <v>166.91800188501412</v>
      </c>
      <c r="B19" s="146">
        <v>238.45428840716306</v>
      </c>
      <c r="C19" s="13">
        <v>340</v>
      </c>
      <c r="D19" s="15">
        <v>1005.6550424128181</v>
      </c>
      <c r="E19" s="10">
        <v>1521.2064090480681</v>
      </c>
      <c r="F19" s="256">
        <v>125.35344015080113</v>
      </c>
      <c r="G19" s="13">
        <v>340</v>
      </c>
      <c r="H19" s="15">
        <v>1064.0904806786052</v>
      </c>
      <c r="I19" s="41">
        <v>1578.6993402450519</v>
      </c>
      <c r="J19" s="15">
        <v>141.37606032045241</v>
      </c>
      <c r="K19" s="13">
        <v>340</v>
      </c>
      <c r="L19" s="15">
        <v>1097.0782280867106</v>
      </c>
      <c r="M19" s="10">
        <v>1613.5721017907636</v>
      </c>
      <c r="N19" s="15">
        <v>153.62865221489162</v>
      </c>
      <c r="O19" s="2"/>
    </row>
    <row r="20" spans="1:15" ht="18" customHeight="1">
      <c r="A20" s="146">
        <f t="shared" si="0"/>
        <v>184.73138548539114</v>
      </c>
      <c r="B20" s="146">
        <v>263.9019792648445</v>
      </c>
      <c r="C20" s="13">
        <v>360</v>
      </c>
      <c r="D20" s="15">
        <v>1038.6427898209238</v>
      </c>
      <c r="E20" s="10">
        <v>1552.3091423185674</v>
      </c>
      <c r="F20" s="256">
        <v>156.45617342130066</v>
      </c>
      <c r="G20" s="13">
        <v>360</v>
      </c>
      <c r="H20" s="15">
        <v>1099.9057492931197</v>
      </c>
      <c r="I20" s="41">
        <v>1615.4571159283696</v>
      </c>
      <c r="J20" s="15">
        <v>191.32893496701226</v>
      </c>
      <c r="K20" s="13">
        <v>360</v>
      </c>
      <c r="L20" s="15">
        <v>1132.8934967012253</v>
      </c>
      <c r="M20" s="10">
        <v>1648.444863336475</v>
      </c>
      <c r="N20" s="15">
        <v>196.04147031102735</v>
      </c>
      <c r="O20" s="2"/>
    </row>
    <row r="21" spans="1:15" ht="18.95" customHeight="1">
      <c r="A21" s="146">
        <f t="shared" si="0"/>
        <v>184.73138548539114</v>
      </c>
      <c r="B21" s="146">
        <v>263.9019792648445</v>
      </c>
      <c r="C21" s="13">
        <v>380</v>
      </c>
      <c r="D21" s="15">
        <v>1068.8030160226201</v>
      </c>
      <c r="E21" s="10">
        <v>1587.1819038642791</v>
      </c>
      <c r="F21" s="256">
        <v>156.45617342130066</v>
      </c>
      <c r="G21" s="13">
        <v>380</v>
      </c>
      <c r="H21" s="15">
        <v>1134.7785108388314</v>
      </c>
      <c r="I21" s="41">
        <v>1650.3298774740811</v>
      </c>
      <c r="J21" s="15">
        <v>191.32893496701226</v>
      </c>
      <c r="K21" s="13">
        <v>380</v>
      </c>
      <c r="L21" s="15">
        <v>1169.6512723845428</v>
      </c>
      <c r="M21" s="10">
        <v>1685.2026390197927</v>
      </c>
      <c r="N21" s="15">
        <v>196.04147031102735</v>
      </c>
      <c r="O21" s="2"/>
    </row>
    <row r="22" spans="1:15" ht="18" customHeight="1">
      <c r="A22" s="146">
        <f t="shared" si="0"/>
        <v>184.73138548539114</v>
      </c>
      <c r="B22" s="146">
        <v>263.9019792648445</v>
      </c>
      <c r="C22" s="13">
        <v>400</v>
      </c>
      <c r="D22" s="15">
        <v>1099.9057492931197</v>
      </c>
      <c r="E22" s="10">
        <v>1615.4571159283696</v>
      </c>
      <c r="F22" s="256">
        <v>156.45617342130066</v>
      </c>
      <c r="G22" s="13">
        <v>400</v>
      </c>
      <c r="H22" s="15">
        <v>1169.6512723845428</v>
      </c>
      <c r="I22" s="41">
        <v>1685.2026390197927</v>
      </c>
      <c r="J22" s="15">
        <v>191.32893496701226</v>
      </c>
      <c r="K22" s="13">
        <v>400</v>
      </c>
      <c r="L22" s="15">
        <v>1208.2940622054666</v>
      </c>
      <c r="M22" s="10">
        <v>1720.0754005655044</v>
      </c>
      <c r="N22" s="15">
        <v>196.04147031102735</v>
      </c>
      <c r="O22" s="2"/>
    </row>
    <row r="23" spans="1:15" ht="18" customHeight="1">
      <c r="A23" s="146">
        <f t="shared" si="0"/>
        <v>203.86427898209237</v>
      </c>
      <c r="B23" s="146">
        <v>291.23468426013198</v>
      </c>
      <c r="C23" s="13">
        <v>420</v>
      </c>
      <c r="D23" s="15">
        <v>1132.8934967012253</v>
      </c>
      <c r="E23" s="10">
        <v>1648.444863336475</v>
      </c>
      <c r="F23" s="256">
        <v>156.45617342130066</v>
      </c>
      <c r="G23" s="13">
        <v>420</v>
      </c>
      <c r="H23" s="15">
        <v>1206.4090480678606</v>
      </c>
      <c r="I23" s="41">
        <v>1718.1903864278984</v>
      </c>
      <c r="J23" s="15">
        <v>191.32893496701226</v>
      </c>
      <c r="K23" s="13">
        <v>420</v>
      </c>
      <c r="L23" s="15">
        <v>1239.3967954759662</v>
      </c>
      <c r="M23" s="10">
        <v>1758.718190386428</v>
      </c>
      <c r="N23" s="15">
        <v>196.04147031102735</v>
      </c>
      <c r="O23" s="2"/>
    </row>
    <row r="24" spans="1:15" ht="18" customHeight="1">
      <c r="A24" s="146">
        <f t="shared" si="0"/>
        <v>203.86427898209237</v>
      </c>
      <c r="B24" s="146">
        <v>291.23468426013198</v>
      </c>
      <c r="C24" s="13">
        <v>440</v>
      </c>
      <c r="D24" s="15">
        <v>1162.1112158341189</v>
      </c>
      <c r="E24" s="10">
        <v>1683.3176248821867</v>
      </c>
      <c r="F24" s="256">
        <v>156.45617342130066</v>
      </c>
      <c r="G24" s="13">
        <v>440</v>
      </c>
      <c r="H24" s="15">
        <v>1235.6267672007541</v>
      </c>
      <c r="I24" s="41">
        <v>1756.8331762488219</v>
      </c>
      <c r="J24" s="15">
        <v>191.32893496701226</v>
      </c>
      <c r="K24" s="13">
        <v>440</v>
      </c>
      <c r="L24" s="15">
        <v>1276.1545711592837</v>
      </c>
      <c r="M24" s="10">
        <v>1795.4759660697457</v>
      </c>
      <c r="N24" s="15">
        <v>196.04147031102735</v>
      </c>
      <c r="O24" s="2"/>
    </row>
    <row r="25" spans="1:15" ht="18" customHeight="1">
      <c r="A25" s="146">
        <f t="shared" si="0"/>
        <v>224.31668237511781</v>
      </c>
      <c r="B25" s="146">
        <v>320.45240339302546</v>
      </c>
      <c r="C25" s="13">
        <v>460</v>
      </c>
      <c r="D25" s="15">
        <v>1193.2139491046185</v>
      </c>
      <c r="E25" s="10">
        <v>1712.5353440150802</v>
      </c>
      <c r="F25" s="256">
        <v>156.45617342130066</v>
      </c>
      <c r="G25" s="13">
        <v>460</v>
      </c>
      <c r="H25" s="15">
        <v>1272.3845428840716</v>
      </c>
      <c r="I25" s="41">
        <v>1791.7059377945336</v>
      </c>
      <c r="J25" s="15">
        <v>191.32893496701226</v>
      </c>
      <c r="K25" s="13">
        <v>460</v>
      </c>
      <c r="L25" s="15">
        <v>1313.8548539114045</v>
      </c>
      <c r="M25" s="10">
        <v>1830.3487276154572</v>
      </c>
      <c r="N25" s="15">
        <v>196.04147031102735</v>
      </c>
      <c r="O25" s="2"/>
    </row>
    <row r="26" spans="1:15" ht="18.95" customHeight="1">
      <c r="A26" s="146">
        <f t="shared" si="0"/>
        <v>224.31668237511781</v>
      </c>
      <c r="B26" s="146">
        <v>320.45240339302546</v>
      </c>
      <c r="C26" s="13">
        <v>480</v>
      </c>
      <c r="D26" s="15">
        <v>1380.7728557964185</v>
      </c>
      <c r="E26" s="10">
        <v>1928.3694627709708</v>
      </c>
      <c r="F26" s="256">
        <v>186.61639962299719</v>
      </c>
      <c r="G26" s="13">
        <v>480</v>
      </c>
      <c r="H26" s="15">
        <v>1453.3459000942507</v>
      </c>
      <c r="I26" s="41">
        <v>1997.1724787935912</v>
      </c>
      <c r="J26" s="15">
        <v>219.60414703110274</v>
      </c>
      <c r="K26" s="13">
        <v>480</v>
      </c>
      <c r="L26" s="15">
        <v>1484.4486333647503</v>
      </c>
      <c r="M26" s="10">
        <v>2030.1602262016966</v>
      </c>
      <c r="N26" s="15">
        <v>246.9368520263902</v>
      </c>
      <c r="O26" s="2"/>
    </row>
    <row r="27" spans="1:15" ht="18" customHeight="1">
      <c r="A27" s="146">
        <f t="shared" si="0"/>
        <v>224.31668237511781</v>
      </c>
      <c r="B27" s="146">
        <v>320.45240339302546</v>
      </c>
      <c r="C27" s="13">
        <v>500</v>
      </c>
      <c r="D27" s="15">
        <v>1420.3581526861453</v>
      </c>
      <c r="E27" s="10">
        <v>1968.8972667295006</v>
      </c>
      <c r="F27" s="256">
        <v>186.61639962299719</v>
      </c>
      <c r="G27" s="13">
        <v>500</v>
      </c>
      <c r="H27" s="15">
        <v>1495.7587181903866</v>
      </c>
      <c r="I27" s="41">
        <v>2039.5852968897268</v>
      </c>
      <c r="J27" s="15">
        <v>219.60414703110274</v>
      </c>
      <c r="K27" s="13">
        <v>500</v>
      </c>
      <c r="L27" s="15">
        <v>1526.861451460886</v>
      </c>
      <c r="M27" s="10">
        <v>2072.5730442978324</v>
      </c>
      <c r="N27" s="15">
        <v>246.9368520263902</v>
      </c>
      <c r="O27" s="2"/>
    </row>
    <row r="28" spans="1:15" ht="18" customHeight="1">
      <c r="A28" s="146">
        <f t="shared" si="0"/>
        <v>242.1300659754948</v>
      </c>
      <c r="B28" s="146">
        <v>345.9000942507069</v>
      </c>
      <c r="C28" s="13">
        <v>520</v>
      </c>
      <c r="D28" s="15">
        <v>1455.2309142318568</v>
      </c>
      <c r="E28" s="10">
        <v>2010.3675777568333</v>
      </c>
      <c r="F28" s="256">
        <v>186.61639962299719</v>
      </c>
      <c r="G28" s="13">
        <v>520</v>
      </c>
      <c r="H28" s="15">
        <v>1532.5164938737041</v>
      </c>
      <c r="I28" s="41">
        <v>2082.9406220546657</v>
      </c>
      <c r="J28" s="15">
        <v>219.60414703110274</v>
      </c>
      <c r="K28" s="13">
        <v>520</v>
      </c>
      <c r="L28" s="15">
        <v>1566.4467483506128</v>
      </c>
      <c r="M28" s="10">
        <v>2114.0433553251651</v>
      </c>
      <c r="N28" s="15">
        <v>246.9368520263902</v>
      </c>
      <c r="O28" s="2"/>
    </row>
    <row r="29" spans="1:15" ht="18" customHeight="1">
      <c r="A29" s="146">
        <f t="shared" si="0"/>
        <v>242.1300659754948</v>
      </c>
      <c r="B29" s="146">
        <v>345.9000942507069</v>
      </c>
      <c r="C29" s="13">
        <v>540</v>
      </c>
      <c r="D29" s="15">
        <v>1497.6437323279924</v>
      </c>
      <c r="E29" s="10">
        <v>2041.4703110273329</v>
      </c>
      <c r="F29" s="256">
        <v>186.61639962299719</v>
      </c>
      <c r="G29" s="13">
        <v>540</v>
      </c>
      <c r="H29" s="15">
        <v>1578.6993402450519</v>
      </c>
      <c r="I29" s="41">
        <v>2122.5259189443923</v>
      </c>
      <c r="J29" s="15">
        <v>219.60414703110274</v>
      </c>
      <c r="K29" s="13">
        <v>540</v>
      </c>
      <c r="L29" s="15">
        <v>1609.8020735155515</v>
      </c>
      <c r="M29" s="10">
        <v>2160.2262016965128</v>
      </c>
      <c r="N29" s="15">
        <v>246.9368520263902</v>
      </c>
      <c r="O29" s="2"/>
    </row>
    <row r="30" spans="1:15" ht="18" customHeight="1">
      <c r="A30" s="146">
        <f t="shared" si="0"/>
        <v>261.26295947219603</v>
      </c>
      <c r="B30" s="146">
        <v>373.23279924599439</v>
      </c>
      <c r="C30" s="13">
        <v>560</v>
      </c>
      <c r="D30" s="15">
        <v>1532.5164938737041</v>
      </c>
      <c r="E30" s="10">
        <v>2082.9406220546657</v>
      </c>
      <c r="F30" s="256">
        <v>186.61639962299719</v>
      </c>
      <c r="G30" s="13">
        <v>560</v>
      </c>
      <c r="H30" s="15">
        <v>1614.5146088595666</v>
      </c>
      <c r="I30" s="41">
        <v>2164.9387370405279</v>
      </c>
      <c r="J30" s="15">
        <v>219.60414703110274</v>
      </c>
      <c r="K30" s="13">
        <v>560</v>
      </c>
      <c r="L30" s="15">
        <v>1653.1573986804901</v>
      </c>
      <c r="M30" s="10">
        <v>2199.8114985862394</v>
      </c>
      <c r="N30" s="15">
        <v>246.9368520263902</v>
      </c>
      <c r="O30" s="2"/>
    </row>
    <row r="31" spans="1:15" ht="18.95" customHeight="1">
      <c r="A31" s="146">
        <f t="shared" si="0"/>
        <v>261.26295947219603</v>
      </c>
      <c r="B31" s="146">
        <v>373.23279924599439</v>
      </c>
      <c r="C31" s="13">
        <v>580</v>
      </c>
      <c r="D31" s="15">
        <v>1574.9293119698398</v>
      </c>
      <c r="E31" s="10">
        <v>2120.6409048067862</v>
      </c>
      <c r="F31" s="256">
        <v>186.61639962299719</v>
      </c>
      <c r="G31" s="13">
        <v>580</v>
      </c>
      <c r="H31" s="15">
        <v>1659.7549481621113</v>
      </c>
      <c r="I31" s="41">
        <v>2203.5815268614515</v>
      </c>
      <c r="J31" s="15">
        <v>219.60414703110274</v>
      </c>
      <c r="K31" s="13">
        <v>580</v>
      </c>
      <c r="L31" s="15">
        <v>1691.8001885014139</v>
      </c>
      <c r="M31" s="10">
        <v>2241.281809613572</v>
      </c>
      <c r="N31" s="15">
        <v>246.9368520263902</v>
      </c>
      <c r="O31" s="2"/>
    </row>
    <row r="32" spans="1:15" ht="18" customHeight="1">
      <c r="A32" s="146">
        <f t="shared" si="0"/>
        <v>261.26295947219603</v>
      </c>
      <c r="B32" s="146">
        <v>373.23279924599439</v>
      </c>
      <c r="C32" s="13">
        <v>600</v>
      </c>
      <c r="D32" s="15">
        <v>1609.8020735155515</v>
      </c>
      <c r="E32" s="10">
        <v>2162.1112158341189</v>
      </c>
      <c r="F32" s="256">
        <v>215.83411875589067</v>
      </c>
      <c r="G32" s="13">
        <v>600</v>
      </c>
      <c r="H32" s="15">
        <v>1699.3402450518379</v>
      </c>
      <c r="I32" s="41">
        <v>2247.8793590951932</v>
      </c>
      <c r="J32" s="15">
        <v>261.07445805843543</v>
      </c>
      <c r="K32" s="13">
        <v>600</v>
      </c>
      <c r="L32" s="15">
        <v>1737.0405278039586</v>
      </c>
      <c r="M32" s="10">
        <v>2278.03958529689</v>
      </c>
      <c r="N32" s="15">
        <v>292.17719132893501</v>
      </c>
      <c r="O32" s="2"/>
    </row>
    <row r="33" spans="1:15" ht="21.6" customHeight="1">
      <c r="A33" s="897"/>
      <c r="B33" s="897"/>
      <c r="C33" s="898"/>
      <c r="D33" s="899"/>
      <c r="E33" s="900"/>
      <c r="F33" s="900"/>
      <c r="G33" s="901"/>
      <c r="H33" s="899"/>
      <c r="I33" s="900"/>
      <c r="J33" s="900"/>
      <c r="K33" s="901"/>
      <c r="L33" s="899"/>
      <c r="M33" s="900"/>
      <c r="N33" s="901"/>
      <c r="O33" s="3"/>
    </row>
    <row r="34" spans="1:15" ht="16.5" customHeight="1">
      <c r="A34" s="896" t="s">
        <v>225</v>
      </c>
      <c r="B34" s="896"/>
      <c r="C34" s="896"/>
      <c r="D34" s="896"/>
      <c r="E34" s="896"/>
      <c r="F34" s="896"/>
      <c r="G34" s="896"/>
      <c r="H34" s="896"/>
      <c r="I34" s="896"/>
      <c r="J34" s="896"/>
      <c r="K34" s="896"/>
      <c r="L34" s="896"/>
      <c r="M34" s="896"/>
      <c r="N34" s="896"/>
      <c r="O34" s="896"/>
    </row>
    <row r="35" spans="1:15">
      <c r="E35">
        <v>-268.5</v>
      </c>
    </row>
  </sheetData>
  <mergeCells count="11">
    <mergeCell ref="A6:B6"/>
    <mergeCell ref="A1:O1"/>
    <mergeCell ref="A2:N2"/>
    <mergeCell ref="G4:J5"/>
    <mergeCell ref="K4:N5"/>
    <mergeCell ref="C4:F5"/>
    <mergeCell ref="A34:O34"/>
    <mergeCell ref="A33:C33"/>
    <mergeCell ref="D33:G33"/>
    <mergeCell ref="H33:K33"/>
    <mergeCell ref="L33:N3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Blad37">
    <tabColor theme="6" tint="-0.499984740745262"/>
    <pageSetUpPr fitToPage="1"/>
  </sheetPr>
  <dimension ref="A1:O35"/>
  <sheetViews>
    <sheetView workbookViewId="0">
      <selection sqref="A1:O1"/>
    </sheetView>
  </sheetViews>
  <sheetFormatPr defaultRowHeight="12.75"/>
  <cols>
    <col min="1" max="1" width="7.1640625" customWidth="1"/>
    <col min="2" max="2" width="4.6640625" bestFit="1" customWidth="1"/>
    <col min="3" max="3" width="8.6640625" bestFit="1" customWidth="1"/>
    <col min="4" max="4" width="11.83203125" customWidth="1"/>
    <col min="5" max="5" width="6.6640625" bestFit="1" customWidth="1"/>
    <col min="6" max="6" width="10.1640625" bestFit="1" customWidth="1"/>
    <col min="7" max="7" width="8.6640625" bestFit="1" customWidth="1"/>
    <col min="8" max="8" width="11.5" customWidth="1"/>
    <col min="9" max="9" width="6.6640625" bestFit="1" customWidth="1"/>
    <col min="10" max="10" width="10" customWidth="1"/>
    <col min="11" max="11" width="8.6640625" bestFit="1" customWidth="1"/>
    <col min="12" max="12" width="11.6640625" customWidth="1"/>
    <col min="13" max="13" width="6.6640625" bestFit="1" customWidth="1"/>
    <col min="14" max="14" width="10" bestFit="1" customWidth="1"/>
    <col min="15" max="15" width="6.83203125" customWidth="1"/>
  </cols>
  <sheetData>
    <row r="1" spans="1:15" ht="50.1" customHeight="1">
      <c r="A1" s="767" t="s">
        <v>370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</row>
    <row r="2" spans="1:15" ht="24" customHeight="1">
      <c r="A2" s="912" t="s">
        <v>279</v>
      </c>
      <c r="B2" s="912"/>
      <c r="C2" s="912"/>
      <c r="D2" s="912"/>
      <c r="E2" s="912"/>
      <c r="F2" s="912"/>
      <c r="G2" s="912"/>
      <c r="H2" s="912"/>
      <c r="I2" s="912"/>
      <c r="J2" s="912"/>
      <c r="K2" s="912"/>
      <c r="L2" s="912"/>
      <c r="M2" s="912"/>
      <c r="N2" s="912"/>
      <c r="O2" s="3"/>
    </row>
    <row r="3" spans="1:15" ht="6" customHeight="1">
      <c r="B3" s="311"/>
      <c r="C3" s="916" t="s">
        <v>338</v>
      </c>
      <c r="D3" s="907"/>
      <c r="E3" s="907"/>
      <c r="F3" s="908"/>
      <c r="G3" s="906" t="s">
        <v>216</v>
      </c>
      <c r="H3" s="907"/>
      <c r="I3" s="907"/>
      <c r="J3" s="908"/>
      <c r="K3" s="906" t="s">
        <v>218</v>
      </c>
      <c r="L3" s="907"/>
      <c r="M3" s="907"/>
      <c r="N3" s="908"/>
      <c r="O3" s="2"/>
    </row>
    <row r="4" spans="1:15">
      <c r="A4" s="311"/>
      <c r="B4" s="311"/>
      <c r="C4" s="913"/>
      <c r="D4" s="914"/>
      <c r="E4" s="914"/>
      <c r="F4" s="915"/>
      <c r="G4" s="913"/>
      <c r="H4" s="914"/>
      <c r="I4" s="914"/>
      <c r="J4" s="915"/>
      <c r="K4" s="913"/>
      <c r="L4" s="914"/>
      <c r="M4" s="914"/>
      <c r="N4" s="915"/>
      <c r="O4" s="311"/>
    </row>
    <row r="5" spans="1:15">
      <c r="A5" s="401"/>
      <c r="B5" s="401"/>
      <c r="C5" s="909"/>
      <c r="D5" s="910"/>
      <c r="E5" s="910"/>
      <c r="F5" s="911"/>
      <c r="G5" s="909"/>
      <c r="H5" s="910"/>
      <c r="I5" s="910"/>
      <c r="J5" s="911"/>
      <c r="K5" s="909"/>
      <c r="L5" s="910"/>
      <c r="M5" s="910"/>
      <c r="N5" s="911"/>
      <c r="O5" s="3"/>
    </row>
    <row r="6" spans="1:15" ht="18" customHeight="1">
      <c r="A6" s="920" t="s">
        <v>142</v>
      </c>
      <c r="B6" s="921"/>
      <c r="C6" s="402" t="s">
        <v>130</v>
      </c>
      <c r="D6" s="403"/>
      <c r="E6" s="402" t="s">
        <v>220</v>
      </c>
      <c r="F6" s="407" t="s">
        <v>221</v>
      </c>
      <c r="G6" s="402" t="s">
        <v>130</v>
      </c>
      <c r="H6" s="403"/>
      <c r="I6" s="402" t="s">
        <v>220</v>
      </c>
      <c r="J6" s="403" t="s">
        <v>221</v>
      </c>
      <c r="K6" s="402" t="s">
        <v>130</v>
      </c>
      <c r="L6" s="403"/>
      <c r="M6" s="402" t="s">
        <v>220</v>
      </c>
      <c r="N6" s="403" t="s">
        <v>221</v>
      </c>
      <c r="O6" s="2"/>
    </row>
    <row r="7" spans="1:15" ht="16.5">
      <c r="A7" s="409" t="s">
        <v>342</v>
      </c>
      <c r="B7" s="409" t="s">
        <v>341</v>
      </c>
      <c r="C7" s="369" t="s">
        <v>340</v>
      </c>
      <c r="D7" s="408"/>
      <c r="E7" s="369" t="s">
        <v>339</v>
      </c>
      <c r="F7" s="406" t="s">
        <v>273</v>
      </c>
      <c r="G7" s="369" t="s">
        <v>340</v>
      </c>
      <c r="H7" s="408"/>
      <c r="I7" s="369" t="s">
        <v>339</v>
      </c>
      <c r="J7" s="406" t="s">
        <v>273</v>
      </c>
      <c r="K7" s="369" t="s">
        <v>340</v>
      </c>
      <c r="L7" s="408"/>
      <c r="M7" s="369" t="s">
        <v>339</v>
      </c>
      <c r="N7" s="406" t="s">
        <v>273</v>
      </c>
      <c r="O7" s="3"/>
    </row>
    <row r="8" spans="1:15" ht="18" customHeight="1">
      <c r="A8" s="303"/>
      <c r="B8" s="303"/>
      <c r="C8" s="225"/>
      <c r="D8" s="226"/>
      <c r="E8" s="225"/>
      <c r="F8" s="237"/>
      <c r="G8" s="225"/>
      <c r="H8" s="226"/>
      <c r="I8" s="225"/>
      <c r="J8" s="226"/>
      <c r="K8" s="225"/>
      <c r="L8" s="226"/>
      <c r="M8" s="225"/>
      <c r="N8" s="226"/>
      <c r="O8" s="2"/>
    </row>
    <row r="9" spans="1:15" ht="18" customHeight="1">
      <c r="A9" s="146">
        <f>(('Suncube 150 (2)'!A9/(1+Korting!$B$3)*(1-Korting!$B$2)*Prijsmutaties!$K$9))</f>
        <v>83.784772561983473</v>
      </c>
      <c r="B9" s="146">
        <f>(('Suncube 150 (2)'!B9/(1+Korting!$B$3)*(1-Korting!$B$2)*Prijsmutaties!$K$9))</f>
        <v>119.69253223140495</v>
      </c>
      <c r="C9" s="13">
        <v>140</v>
      </c>
      <c r="D9" s="15"/>
      <c r="E9" s="10">
        <f>(('Suncube 150 (2)'!E9/(1+Korting!$B$3)*(1-Korting!$B$2)*Prijsmutaties!$C$9))</f>
        <v>1196.5438674178511</v>
      </c>
      <c r="F9" s="190">
        <f>(('Suncube 150 (2)'!F9/(1+Korting!$B$3)*(1-Korting!$B$2)*Prijsmutaties!$C$9))</f>
        <v>85.867422622809912</v>
      </c>
      <c r="G9" s="13">
        <v>140</v>
      </c>
      <c r="H9" s="15"/>
      <c r="I9" s="10">
        <f>(('Suncube 150 (2)'!I9/(1+Korting!$B$3)*(1-Korting!$B$2)*Prijsmutaties!$C$9))</f>
        <v>1223.6107723750413</v>
      </c>
      <c r="J9" s="15">
        <f>(('Suncube 150 (2)'!J9/(1+Korting!$B$3)*(1-Korting!$B$2)*Prijsmutaties!$C$9))</f>
        <v>100.80088742677684</v>
      </c>
      <c r="K9" s="13">
        <v>140</v>
      </c>
      <c r="L9" s="15"/>
      <c r="M9" s="10">
        <f>(('Suncube 150 (2)'!M9/(1+Korting!$B$3)*(1-Korting!$B$2)*Prijsmutaties!$C$9))</f>
        <v>1246.9443111312396</v>
      </c>
      <c r="N9" s="15">
        <f>(('Suncube 150 (2)'!N9/(1+Korting!$B$3)*(1-Korting!$B$2)*Prijsmutaties!$C$9))</f>
        <v>106.40093672826445</v>
      </c>
      <c r="O9" s="2"/>
    </row>
    <row r="10" spans="1:15" ht="18" customHeight="1">
      <c r="A10" s="146">
        <f>(('Suncube 150 (2)'!A10/(1+Korting!$B$3)*(1-Korting!$B$2)*Prijsmutaties!$K$9))</f>
        <v>102.60598958677684</v>
      </c>
      <c r="B10" s="146">
        <f>(('Suncube 150 (2)'!B10/(1+Korting!$B$3)*(1-Korting!$B$2)*Prijsmutaties!$K$9))</f>
        <v>146.57998512396691</v>
      </c>
      <c r="C10" s="13">
        <v>160</v>
      </c>
      <c r="D10" s="15"/>
      <c r="E10" s="10">
        <f>(('Suncube 150 (2)'!E10/(1+Korting!$B$3)*(1-Korting!$B$2)*Prijsmutaties!$C$9))</f>
        <v>1223.6107723750413</v>
      </c>
      <c r="F10" s="190">
        <f>(('Suncube 150 (2)'!F10/(1+Korting!$B$3)*(1-Korting!$B$2)*Prijsmutaties!$C$9))</f>
        <v>85.867422622809912</v>
      </c>
      <c r="G10" s="13">
        <v>160</v>
      </c>
      <c r="H10" s="15"/>
      <c r="I10" s="10">
        <f>(('Suncube 150 (2)'!I10/(1+Korting!$B$3)*(1-Korting!$B$2)*Prijsmutaties!$C$9))</f>
        <v>1261.8777759352063</v>
      </c>
      <c r="J10" s="15">
        <f>(('Suncube 150 (2)'!J10/(1+Korting!$B$3)*(1-Korting!$B$2)*Prijsmutaties!$C$9))</f>
        <v>100.80088742677684</v>
      </c>
      <c r="K10" s="13">
        <v>160</v>
      </c>
      <c r="L10" s="15"/>
      <c r="M10" s="10">
        <f>(('Suncube 150 (2)'!M10/(1+Korting!$B$3)*(1-Korting!$B$2)*Prijsmutaties!$C$9))</f>
        <v>1276.8112407391736</v>
      </c>
      <c r="N10" s="15">
        <f>(('Suncube 150 (2)'!N10/(1+Korting!$B$3)*(1-Korting!$B$2)*Prijsmutaties!$C$9))</f>
        <v>106.40093672826445</v>
      </c>
      <c r="O10" s="2"/>
    </row>
    <row r="11" spans="1:15" ht="18.95" customHeight="1">
      <c r="A11" s="146">
        <f>(('Suncube 150 (2)'!A11/(1+Korting!$B$3)*(1-Korting!$B$2)*Prijsmutaties!$K$9))</f>
        <v>102.60598958677684</v>
      </c>
      <c r="B11" s="146">
        <f>(('Suncube 150 (2)'!B11/(1+Korting!$B$3)*(1-Korting!$B$2)*Prijsmutaties!$K$9))</f>
        <v>146.57998512396691</v>
      </c>
      <c r="C11" s="13">
        <v>180</v>
      </c>
      <c r="D11" s="15"/>
      <c r="E11" s="10">
        <f>(('Suncube 150 (2)'!E11/(1+Korting!$B$3)*(1-Korting!$B$2)*Prijsmutaties!$C$9))</f>
        <v>1260.0110928347106</v>
      </c>
      <c r="F11" s="190">
        <f>(('Suncube 150 (2)'!F11/(1+Korting!$B$3)*(1-Korting!$B$2)*Prijsmutaties!$C$9))</f>
        <v>85.867422622809912</v>
      </c>
      <c r="G11" s="13">
        <v>180</v>
      </c>
      <c r="H11" s="15"/>
      <c r="I11" s="10">
        <f>(('Suncube 150 (2)'!I11/(1+Korting!$B$3)*(1-Korting!$B$2)*Prijsmutaties!$C$9))</f>
        <v>1294.5447301938841</v>
      </c>
      <c r="J11" s="15">
        <f>(('Suncube 150 (2)'!J11/(1+Korting!$B$3)*(1-Korting!$B$2)*Prijsmutaties!$C$9))</f>
        <v>100.80088742677684</v>
      </c>
      <c r="K11" s="13">
        <v>180</v>
      </c>
      <c r="L11" s="15"/>
      <c r="M11" s="10">
        <f>(('Suncube 150 (2)'!M11/(1+Korting!$B$3)*(1-Korting!$B$2)*Prijsmutaties!$C$9))</f>
        <v>1314.144902749091</v>
      </c>
      <c r="N11" s="15">
        <f>(('Suncube 150 (2)'!N11/(1+Korting!$B$3)*(1-Korting!$B$2)*Prijsmutaties!$C$9))</f>
        <v>106.40093672826445</v>
      </c>
      <c r="O11" s="2"/>
    </row>
    <row r="12" spans="1:15" ht="18" customHeight="1">
      <c r="A12" s="146">
        <f>(('Suncube 150 (2)'!A12/(1+Korting!$B$3)*(1-Korting!$B$2)*Prijsmutaties!$K$9))</f>
        <v>102.60598958677684</v>
      </c>
      <c r="B12" s="146">
        <f>(('Suncube 150 (2)'!B12/(1+Korting!$B$3)*(1-Korting!$B$2)*Prijsmutaties!$K$9))</f>
        <v>146.57998512396691</v>
      </c>
      <c r="C12" s="13">
        <v>200</v>
      </c>
      <c r="D12" s="15"/>
      <c r="E12" s="10">
        <f>(('Suncube 150 (2)'!E12/(1+Korting!$B$3)*(1-Korting!$B$2)*Prijsmutaties!$C$9))</f>
        <v>1292.6780470933884</v>
      </c>
      <c r="F12" s="190">
        <f>(('Suncube 150 (2)'!F12/(1+Korting!$B$3)*(1-Korting!$B$2)*Prijsmutaties!$C$9))</f>
        <v>85.867422622809912</v>
      </c>
      <c r="G12" s="13">
        <v>200</v>
      </c>
      <c r="H12" s="15"/>
      <c r="I12" s="10">
        <f>(('Suncube 150 (2)'!I12/(1+Korting!$B$3)*(1-Korting!$B$2)*Prijsmutaties!$C$9))</f>
        <v>1327.2116844525619</v>
      </c>
      <c r="J12" s="15">
        <f>(('Suncube 150 (2)'!J12/(1+Korting!$B$3)*(1-Korting!$B$2)*Prijsmutaties!$C$9))</f>
        <v>100.80088742677684</v>
      </c>
      <c r="K12" s="13">
        <v>200</v>
      </c>
      <c r="L12" s="15"/>
      <c r="M12" s="10">
        <f>(('Suncube 150 (2)'!M12/(1+Korting!$B$3)*(1-Korting!$B$2)*Prijsmutaties!$C$9))</f>
        <v>1351.4785647590081</v>
      </c>
      <c r="N12" s="15">
        <f>(('Suncube 150 (2)'!N12/(1+Korting!$B$3)*(1-Korting!$B$2)*Prijsmutaties!$C$9))</f>
        <v>106.40093672826445</v>
      </c>
      <c r="O12" s="2"/>
    </row>
    <row r="13" spans="1:15" ht="18" customHeight="1">
      <c r="A13" s="146">
        <f>(('Suncube 150 (2)'!A13/(1+Korting!$B$3)*(1-Korting!$B$2)*Prijsmutaties!$K$9))</f>
        <v>117.78439041322312</v>
      </c>
      <c r="B13" s="146">
        <f>(('Suncube 150 (2)'!B13/(1+Korting!$B$3)*(1-Korting!$B$2)*Prijsmutaties!$K$9))</f>
        <v>168.26341487603304</v>
      </c>
      <c r="C13" s="13">
        <v>220</v>
      </c>
      <c r="D13" s="15"/>
      <c r="E13" s="10">
        <f>(('Suncube 150 (2)'!E13/(1+Korting!$B$3)*(1-Korting!$B$2)*Prijsmutaties!$C$9))</f>
        <v>1316.9449273998346</v>
      </c>
      <c r="F13" s="190">
        <f>(('Suncube 150 (2)'!F13/(1+Korting!$B$3)*(1-Korting!$B$2)*Prijsmutaties!$C$9))</f>
        <v>85.867422622809912</v>
      </c>
      <c r="G13" s="13">
        <v>220</v>
      </c>
      <c r="H13" s="15"/>
      <c r="I13" s="10">
        <f>(('Suncube 150 (2)'!I13/(1+Korting!$B$3)*(1-Korting!$B$2)*Prijsmutaties!$C$9))</f>
        <v>1361.7453218117355</v>
      </c>
      <c r="J13" s="15">
        <f>(('Suncube 150 (2)'!J13/(1+Korting!$B$3)*(1-Korting!$B$2)*Prijsmutaties!$C$9))</f>
        <v>100.80088742677684</v>
      </c>
      <c r="K13" s="13">
        <v>220</v>
      </c>
      <c r="L13" s="15"/>
      <c r="M13" s="10">
        <f>(('Suncube 150 (2)'!M13/(1+Korting!$B$3)*(1-Korting!$B$2)*Prijsmutaties!$C$9))</f>
        <v>1381.3454943669421</v>
      </c>
      <c r="N13" s="15">
        <f>(('Suncube 150 (2)'!N13/(1+Korting!$B$3)*(1-Korting!$B$2)*Prijsmutaties!$C$9))</f>
        <v>106.40093672826445</v>
      </c>
      <c r="O13" s="2"/>
    </row>
    <row r="14" spans="1:15" ht="18" customHeight="1">
      <c r="A14" s="146">
        <f>(('Suncube 150 (2)'!A14/(1+Korting!$B$3)*(1-Korting!$B$2)*Prijsmutaties!$K$9))</f>
        <v>117.78439041322312</v>
      </c>
      <c r="B14" s="146">
        <f>(('Suncube 150 (2)'!B14/(1+Korting!$B$3)*(1-Korting!$B$2)*Prijsmutaties!$K$9))</f>
        <v>168.26341487603304</v>
      </c>
      <c r="C14" s="13">
        <v>240</v>
      </c>
      <c r="D14" s="15"/>
      <c r="E14" s="10">
        <f>(('Suncube 150 (2)'!E14/(1+Korting!$B$3)*(1-Korting!$B$2)*Prijsmutaties!$C$9))</f>
        <v>1355.21193096</v>
      </c>
      <c r="F14" s="190">
        <f>(('Suncube 150 (2)'!F14/(1+Korting!$B$3)*(1-Korting!$B$2)*Prijsmutaties!$C$9))</f>
        <v>124.1344261829752</v>
      </c>
      <c r="G14" s="13">
        <v>240</v>
      </c>
      <c r="H14" s="15"/>
      <c r="I14" s="10">
        <f>(('Suncube 150 (2)'!I14/(1+Korting!$B$3)*(1-Korting!$B$2)*Prijsmutaties!$C$9))</f>
        <v>1394.4122760704133</v>
      </c>
      <c r="J14" s="15">
        <f>(('Suncube 150 (2)'!J14/(1+Korting!$B$3)*(1-Korting!$B$2)*Prijsmutaties!$C$9))</f>
        <v>140.00123253719008</v>
      </c>
      <c r="K14" s="13">
        <v>240</v>
      </c>
      <c r="L14" s="15"/>
      <c r="M14" s="10">
        <f>(('Suncube 150 (2)'!M14/(1+Korting!$B$3)*(1-Korting!$B$2)*Prijsmutaties!$C$9))</f>
        <v>1424.2792056783469</v>
      </c>
      <c r="N14" s="15">
        <f>(('Suncube 150 (2)'!N14/(1+Korting!$B$3)*(1-Korting!$B$2)*Prijsmutaties!$C$9))</f>
        <v>152.13467269041323</v>
      </c>
      <c r="O14" s="2"/>
    </row>
    <row r="15" spans="1:15" ht="18" customHeight="1">
      <c r="A15" s="146">
        <f>(('Suncube 150 (2)'!A15/(1+Korting!$B$3)*(1-Korting!$B$2)*Prijsmutaties!$K$9))</f>
        <v>138.42701553719007</v>
      </c>
      <c r="B15" s="146">
        <f>(('Suncube 150 (2)'!B15/(1+Korting!$B$3)*(1-Korting!$B$2)*Prijsmutaties!$K$9))</f>
        <v>197.75287933884294</v>
      </c>
      <c r="C15" s="13">
        <v>260</v>
      </c>
      <c r="D15" s="15"/>
      <c r="E15" s="10">
        <f>(('Suncube 150 (2)'!E15/(1+Korting!$B$3)*(1-Korting!$B$2)*Prijsmutaties!$C$9))</f>
        <v>1378.5454697161981</v>
      </c>
      <c r="F15" s="190">
        <f>(('Suncube 150 (2)'!F15/(1+Korting!$B$3)*(1-Korting!$B$2)*Prijsmutaties!$C$9))</f>
        <v>124.1344261829752</v>
      </c>
      <c r="G15" s="13">
        <v>260</v>
      </c>
      <c r="H15" s="15"/>
      <c r="I15" s="10">
        <f>(('Suncube 150 (2)'!I15/(1+Korting!$B$3)*(1-Korting!$B$2)*Prijsmutaties!$C$9))</f>
        <v>1431.7459380803305</v>
      </c>
      <c r="J15" s="15">
        <f>(('Suncube 150 (2)'!J15/(1+Korting!$B$3)*(1-Korting!$B$2)*Prijsmutaties!$C$9))</f>
        <v>140.00123253719008</v>
      </c>
      <c r="K15" s="13">
        <v>260</v>
      </c>
      <c r="L15" s="15"/>
      <c r="M15" s="10">
        <f>(('Suncube 150 (2)'!M15/(1+Korting!$B$3)*(1-Korting!$B$2)*Prijsmutaties!$C$9))</f>
        <v>1453.2127937360331</v>
      </c>
      <c r="N15" s="15">
        <f>(('Suncube 150 (2)'!N15/(1+Korting!$B$3)*(1-Korting!$B$2)*Prijsmutaties!$C$9))</f>
        <v>152.13467269041323</v>
      </c>
      <c r="O15" s="2"/>
    </row>
    <row r="16" spans="1:15" ht="18.95" customHeight="1">
      <c r="A16" s="146">
        <f>(('Suncube 150 (2)'!A16/(1+Korting!$B$3)*(1-Korting!$B$2)*Prijsmutaties!$K$9))</f>
        <v>138.42701553719007</v>
      </c>
      <c r="B16" s="146">
        <f>(('Suncube 150 (2)'!B16/(1+Korting!$B$3)*(1-Korting!$B$2)*Prijsmutaties!$K$9))</f>
        <v>197.75287933884294</v>
      </c>
      <c r="C16" s="13">
        <v>280</v>
      </c>
      <c r="D16" s="15"/>
      <c r="E16" s="10">
        <f>(('Suncube 150 (2)'!E16/(1+Korting!$B$3)*(1-Korting!$B$2)*Prijsmutaties!$C$9))</f>
        <v>1418.6791563768595</v>
      </c>
      <c r="F16" s="190">
        <f>(('Suncube 150 (2)'!F16/(1+Korting!$B$3)*(1-Korting!$B$2)*Prijsmutaties!$C$9))</f>
        <v>124.1344261829752</v>
      </c>
      <c r="G16" s="13">
        <v>280</v>
      </c>
      <c r="H16" s="15"/>
      <c r="I16" s="10">
        <f>(('Suncube 150 (2)'!I16/(1+Korting!$B$3)*(1-Korting!$B$2)*Prijsmutaties!$C$9))</f>
        <v>1466.279575439504</v>
      </c>
      <c r="J16" s="15">
        <f>(('Suncube 150 (2)'!J16/(1+Korting!$B$3)*(1-Korting!$B$2)*Prijsmutaties!$C$9))</f>
        <v>140.00123253719008</v>
      </c>
      <c r="K16" s="13">
        <v>280</v>
      </c>
      <c r="L16" s="15"/>
      <c r="M16" s="10">
        <f>(('Suncube 150 (2)'!M16/(1+Korting!$B$3)*(1-Korting!$B$2)*Prijsmutaties!$C$9))</f>
        <v>1487.7464310952064</v>
      </c>
      <c r="N16" s="15">
        <f>(('Suncube 150 (2)'!N16/(1+Korting!$B$3)*(1-Korting!$B$2)*Prijsmutaties!$C$9))</f>
        <v>152.13467269041323</v>
      </c>
      <c r="O16" s="2"/>
    </row>
    <row r="17" spans="1:15" ht="18" customHeight="1">
      <c r="A17" s="146">
        <f>(('Suncube 150 (2)'!A17/(1+Korting!$B$3)*(1-Korting!$B$2)*Prijsmutaties!$K$9))</f>
        <v>138.42701553719007</v>
      </c>
      <c r="B17" s="146">
        <f>(('Suncube 150 (2)'!B17/(1+Korting!$B$3)*(1-Korting!$B$2)*Prijsmutaties!$K$9))</f>
        <v>197.75287933884294</v>
      </c>
      <c r="C17" s="13">
        <v>300</v>
      </c>
      <c r="D17" s="15"/>
      <c r="E17" s="10">
        <f>(('Suncube 150 (2)'!E17/(1+Korting!$B$3)*(1-Korting!$B$2)*Prijsmutaties!$C$9))</f>
        <v>1443.8793782335536</v>
      </c>
      <c r="F17" s="190">
        <f>(('Suncube 150 (2)'!F17/(1+Korting!$B$3)*(1-Korting!$B$2)*Prijsmutaties!$C$9))</f>
        <v>124.1344261829752</v>
      </c>
      <c r="G17" s="13">
        <v>300</v>
      </c>
      <c r="H17" s="15"/>
      <c r="I17" s="10">
        <f>(('Suncube 150 (2)'!I17/(1+Korting!$B$3)*(1-Korting!$B$2)*Prijsmutaties!$C$9))</f>
        <v>1500.8132127986776</v>
      </c>
      <c r="J17" s="15">
        <f>(('Suncube 150 (2)'!J17/(1+Korting!$B$3)*(1-Korting!$B$2)*Prijsmutaties!$C$9))</f>
        <v>140.00123253719008</v>
      </c>
      <c r="K17" s="13">
        <v>300</v>
      </c>
      <c r="L17" s="15"/>
      <c r="M17" s="10">
        <f>(('Suncube 150 (2)'!M17/(1+Korting!$B$3)*(1-Korting!$B$2)*Prijsmutaties!$C$9))</f>
        <v>1528.8134593061156</v>
      </c>
      <c r="N17" s="15">
        <f>(('Suncube 150 (2)'!N17/(1+Korting!$B$3)*(1-Korting!$B$2)*Prijsmutaties!$C$9))</f>
        <v>152.13467269041323</v>
      </c>
      <c r="O17" s="2"/>
    </row>
    <row r="18" spans="1:15" ht="18" customHeight="1">
      <c r="A18" s="146">
        <f>(('Suncube 150 (2)'!A18/(1+Korting!$B$3)*(1-Korting!$B$2)*Prijsmutaties!$K$9))</f>
        <v>153.60541636363632</v>
      </c>
      <c r="B18" s="146">
        <f>(('Suncube 150 (2)'!B18/(1+Korting!$B$3)*(1-Korting!$B$2)*Prijsmutaties!$K$9))</f>
        <v>219.43630909090908</v>
      </c>
      <c r="C18" s="13">
        <v>320</v>
      </c>
      <c r="D18" s="15"/>
      <c r="E18" s="10">
        <f>(('Suncube 150 (2)'!E18/(1+Korting!$B$3)*(1-Korting!$B$2)*Prijsmutaties!$C$9))</f>
        <v>1474.6796493917357</v>
      </c>
      <c r="F18" s="190">
        <f>(('Suncube 150 (2)'!F18/(1+Korting!$B$3)*(1-Korting!$B$2)*Prijsmutaties!$C$9))</f>
        <v>124.1344261829752</v>
      </c>
      <c r="G18" s="13">
        <v>320</v>
      </c>
      <c r="H18" s="15"/>
      <c r="I18" s="10">
        <f>(('Suncube 150 (2)'!I18/(1+Korting!$B$3)*(1-Korting!$B$2)*Prijsmutaties!$C$9))</f>
        <v>1530.6801424066116</v>
      </c>
      <c r="J18" s="15">
        <f>(('Suncube 150 (2)'!J18/(1+Korting!$B$3)*(1-Korting!$B$2)*Prijsmutaties!$C$9))</f>
        <v>140.00123253719008</v>
      </c>
      <c r="K18" s="13">
        <v>320</v>
      </c>
      <c r="L18" s="15"/>
      <c r="M18" s="10">
        <f>(('Suncube 150 (2)'!M18/(1+Korting!$B$3)*(1-Korting!$B$2)*Prijsmutaties!$C$9))</f>
        <v>1559.6137304642975</v>
      </c>
      <c r="N18" s="15">
        <f>(('Suncube 150 (2)'!N18/(1+Korting!$B$3)*(1-Korting!$B$2)*Prijsmutaties!$C$9))</f>
        <v>152.13467269041323</v>
      </c>
      <c r="O18" s="2"/>
    </row>
    <row r="19" spans="1:15" ht="18" customHeight="1">
      <c r="A19" s="146">
        <f>(('Suncube 150 (2)'!A19/(1+Korting!$B$3)*(1-Korting!$B$2)*Prijsmutaties!$K$9))</f>
        <v>153.60541636363632</v>
      </c>
      <c r="B19" s="146">
        <f>(('Suncube 150 (2)'!B19/(1+Korting!$B$3)*(1-Korting!$B$2)*Prijsmutaties!$K$9))</f>
        <v>219.43630909090908</v>
      </c>
      <c r="C19" s="13">
        <v>340</v>
      </c>
      <c r="D19" s="15"/>
      <c r="E19" s="10">
        <f>(('Suncube 150 (2)'!E19/(1+Korting!$B$3)*(1-Korting!$B$2)*Prijsmutaties!$C$9))</f>
        <v>1506.4132621001654</v>
      </c>
      <c r="F19" s="190">
        <f>(('Suncube 150 (2)'!F19/(1+Korting!$B$3)*(1-Korting!$B$2)*Prijsmutaties!$C$9))</f>
        <v>124.1344261829752</v>
      </c>
      <c r="G19" s="13">
        <v>340</v>
      </c>
      <c r="H19" s="15"/>
      <c r="I19" s="10">
        <f>(('Suncube 150 (2)'!I19/(1+Korting!$B$3)*(1-Korting!$B$2)*Prijsmutaties!$C$9))</f>
        <v>1563.3470966652892</v>
      </c>
      <c r="J19" s="15">
        <f>(('Suncube 150 (2)'!J19/(1+Korting!$B$3)*(1-Korting!$B$2)*Prijsmutaties!$C$9))</f>
        <v>140.00123253719008</v>
      </c>
      <c r="K19" s="13">
        <v>340</v>
      </c>
      <c r="L19" s="15"/>
      <c r="M19" s="10">
        <f>(('Suncube 150 (2)'!M19/(1+Korting!$B$3)*(1-Korting!$B$2)*Prijsmutaties!$C$9))</f>
        <v>1597.8807340244628</v>
      </c>
      <c r="N19" s="15">
        <f>(('Suncube 150 (2)'!N19/(1+Korting!$B$3)*(1-Korting!$B$2)*Prijsmutaties!$C$9))</f>
        <v>152.13467269041323</v>
      </c>
      <c r="O19" s="2"/>
    </row>
    <row r="20" spans="1:15" ht="18" customHeight="1">
      <c r="A20" s="146">
        <f>(('Suncube 150 (2)'!A20/(1+Korting!$B$3)*(1-Korting!$B$2)*Prijsmutaties!$K$9))</f>
        <v>169.99808925619831</v>
      </c>
      <c r="B20" s="146">
        <f>(('Suncube 150 (2)'!B20/(1+Korting!$B$3)*(1-Korting!$B$2)*Prijsmutaties!$K$9))</f>
        <v>242.85441322314045</v>
      </c>
      <c r="C20" s="13">
        <v>360</v>
      </c>
      <c r="D20" s="15"/>
      <c r="E20" s="10">
        <f>(('Suncube 150 (2)'!E20/(1+Korting!$B$3)*(1-Korting!$B$2)*Prijsmutaties!$C$9))</f>
        <v>1537.2135332583468</v>
      </c>
      <c r="F20" s="190">
        <f>(('Suncube 150 (2)'!F20/(1+Korting!$B$3)*(1-Korting!$B$2)*Prijsmutaties!$C$9))</f>
        <v>154.934697341157</v>
      </c>
      <c r="G20" s="13">
        <v>360</v>
      </c>
      <c r="H20" s="15"/>
      <c r="I20" s="10">
        <f>(('Suncube 150 (2)'!I20/(1+Korting!$B$3)*(1-Korting!$B$2)*Prijsmutaties!$C$9))</f>
        <v>1599.7474171249587</v>
      </c>
      <c r="J20" s="15">
        <f>(('Suncube 150 (2)'!J20/(1+Korting!$B$3)*(1-Korting!$B$2)*Prijsmutaties!$C$9))</f>
        <v>189.46833470033056</v>
      </c>
      <c r="K20" s="13">
        <v>360</v>
      </c>
      <c r="L20" s="15"/>
      <c r="M20" s="10">
        <f>(('Suncube 150 (2)'!M20/(1+Korting!$B$3)*(1-Korting!$B$2)*Prijsmutaties!$C$9))</f>
        <v>1632.4143713836361</v>
      </c>
      <c r="N20" s="15">
        <f>(('Suncube 150 (2)'!N20/(1+Korting!$B$3)*(1-Korting!$B$2)*Prijsmutaties!$C$9))</f>
        <v>194.13504245157023</v>
      </c>
      <c r="O20" s="2"/>
    </row>
    <row r="21" spans="1:15" ht="18.95" customHeight="1">
      <c r="A21" s="146">
        <f>(('Suncube 150 (2)'!A21/(1+Korting!$B$3)*(1-Korting!$B$2)*Prijsmutaties!$K$9))</f>
        <v>169.99808925619831</v>
      </c>
      <c r="B21" s="146">
        <f>(('Suncube 150 (2)'!B21/(1+Korting!$B$3)*(1-Korting!$B$2)*Prijsmutaties!$K$9))</f>
        <v>242.85441322314045</v>
      </c>
      <c r="C21" s="13">
        <v>380</v>
      </c>
      <c r="D21" s="15"/>
      <c r="E21" s="10">
        <f>(('Suncube 150 (2)'!E21/(1+Korting!$B$3)*(1-Korting!$B$2)*Prijsmutaties!$C$9))</f>
        <v>1571.7471706175204</v>
      </c>
      <c r="F21" s="190">
        <f>(('Suncube 150 (2)'!F21/(1+Korting!$B$3)*(1-Korting!$B$2)*Prijsmutaties!$C$9))</f>
        <v>154.934697341157</v>
      </c>
      <c r="G21" s="13">
        <v>380</v>
      </c>
      <c r="H21" s="15"/>
      <c r="I21" s="10">
        <f>(('Suncube 150 (2)'!I21/(1+Korting!$B$3)*(1-Korting!$B$2)*Prijsmutaties!$C$9))</f>
        <v>1634.281054484132</v>
      </c>
      <c r="J21" s="15">
        <f>(('Suncube 150 (2)'!J21/(1+Korting!$B$3)*(1-Korting!$B$2)*Prijsmutaties!$C$9))</f>
        <v>189.46833470033056</v>
      </c>
      <c r="K21" s="13">
        <v>380</v>
      </c>
      <c r="L21" s="15"/>
      <c r="M21" s="10">
        <f>(('Suncube 150 (2)'!M21/(1+Korting!$B$3)*(1-Korting!$B$2)*Prijsmutaties!$C$9))</f>
        <v>1668.8146918433056</v>
      </c>
      <c r="N21" s="15">
        <f>(('Suncube 150 (2)'!N21/(1+Korting!$B$3)*(1-Korting!$B$2)*Prijsmutaties!$C$9))</f>
        <v>194.13504245157023</v>
      </c>
      <c r="O21" s="2"/>
    </row>
    <row r="22" spans="1:15" ht="18" customHeight="1">
      <c r="A22" s="146">
        <f>(('Suncube 150 (2)'!A22/(1+Korting!$B$3)*(1-Korting!$B$2)*Prijsmutaties!$K$9))</f>
        <v>169.99808925619831</v>
      </c>
      <c r="B22" s="146">
        <f>(('Suncube 150 (2)'!B22/(1+Korting!$B$3)*(1-Korting!$B$2)*Prijsmutaties!$K$9))</f>
        <v>242.85441322314045</v>
      </c>
      <c r="C22" s="13">
        <v>400</v>
      </c>
      <c r="D22" s="15"/>
      <c r="E22" s="10">
        <f>(('Suncube 150 (2)'!E22/(1+Korting!$B$3)*(1-Korting!$B$2)*Prijsmutaties!$C$9))</f>
        <v>1599.7474171249587</v>
      </c>
      <c r="F22" s="190">
        <f>(('Suncube 150 (2)'!F22/(1+Korting!$B$3)*(1-Korting!$B$2)*Prijsmutaties!$C$9))</f>
        <v>154.934697341157</v>
      </c>
      <c r="G22" s="13">
        <v>400</v>
      </c>
      <c r="H22" s="15"/>
      <c r="I22" s="10">
        <f>(('Suncube 150 (2)'!I22/(1+Korting!$B$3)*(1-Korting!$B$2)*Prijsmutaties!$C$9))</f>
        <v>1668.8146918433056</v>
      </c>
      <c r="J22" s="15">
        <f>(('Suncube 150 (2)'!J22/(1+Korting!$B$3)*(1-Korting!$B$2)*Prijsmutaties!$C$9))</f>
        <v>189.46833470033056</v>
      </c>
      <c r="K22" s="13">
        <v>400</v>
      </c>
      <c r="L22" s="15"/>
      <c r="M22" s="10">
        <f>(('Suncube 150 (2)'!M22/(1+Korting!$B$3)*(1-Korting!$B$2)*Prijsmutaties!$C$9))</f>
        <v>1703.3483292024794</v>
      </c>
      <c r="N22" s="15">
        <f>(('Suncube 150 (2)'!N22/(1+Korting!$B$3)*(1-Korting!$B$2)*Prijsmutaties!$C$9))</f>
        <v>194.13504245157023</v>
      </c>
      <c r="O22" s="2"/>
    </row>
    <row r="23" spans="1:15" ht="18" customHeight="1">
      <c r="A23" s="146">
        <f>(('Suncube 150 (2)'!A23/(1+Korting!$B$3)*(1-Korting!$B$2)*Prijsmutaties!$K$9))</f>
        <v>187.60503421487599</v>
      </c>
      <c r="B23" s="146">
        <f>(('Suncube 150 (2)'!B23/(1+Korting!$B$3)*(1-Korting!$B$2)*Prijsmutaties!$K$9))</f>
        <v>268.00719173553716</v>
      </c>
      <c r="C23" s="13">
        <v>420</v>
      </c>
      <c r="D23" s="15"/>
      <c r="E23" s="10">
        <f>(('Suncube 150 (2)'!E23/(1+Korting!$B$3)*(1-Korting!$B$2)*Prijsmutaties!$C$9))</f>
        <v>1632.4143713836361</v>
      </c>
      <c r="F23" s="190">
        <f>(('Suncube 150 (2)'!F23/(1+Korting!$B$3)*(1-Korting!$B$2)*Prijsmutaties!$C$9))</f>
        <v>154.934697341157</v>
      </c>
      <c r="G23" s="13">
        <v>420</v>
      </c>
      <c r="H23" s="15"/>
      <c r="I23" s="10">
        <f>(('Suncube 150 (2)'!I23/(1+Korting!$B$3)*(1-Korting!$B$2)*Prijsmutaties!$C$9))</f>
        <v>1701.4816461019834</v>
      </c>
      <c r="J23" s="15">
        <f>(('Suncube 150 (2)'!J23/(1+Korting!$B$3)*(1-Korting!$B$2)*Prijsmutaties!$C$9))</f>
        <v>189.46833470033056</v>
      </c>
      <c r="K23" s="13">
        <v>420</v>
      </c>
      <c r="L23" s="15"/>
      <c r="M23" s="10">
        <f>(('Suncube 150 (2)'!M23/(1+Korting!$B$3)*(1-Korting!$B$2)*Prijsmutaties!$C$9))</f>
        <v>1741.6153327626444</v>
      </c>
      <c r="N23" s="15">
        <f>(('Suncube 150 (2)'!N23/(1+Korting!$B$3)*(1-Korting!$B$2)*Prijsmutaties!$C$9))</f>
        <v>194.13504245157023</v>
      </c>
      <c r="O23" s="2"/>
    </row>
    <row r="24" spans="1:15" ht="18" customHeight="1">
      <c r="A24" s="146">
        <f>(('Suncube 150 (2)'!A24/(1+Korting!$B$3)*(1-Korting!$B$2)*Prijsmutaties!$K$9))</f>
        <v>187.60503421487599</v>
      </c>
      <c r="B24" s="146">
        <f>(('Suncube 150 (2)'!B24/(1+Korting!$B$3)*(1-Korting!$B$2)*Prijsmutaties!$K$9))</f>
        <v>268.00719173553716</v>
      </c>
      <c r="C24" s="13">
        <v>440</v>
      </c>
      <c r="D24" s="15"/>
      <c r="E24" s="10">
        <f>(('Suncube 150 (2)'!E24/(1+Korting!$B$3)*(1-Korting!$B$2)*Prijsmutaties!$C$9))</f>
        <v>1666.9480087428099</v>
      </c>
      <c r="F24" s="190">
        <f>(('Suncube 150 (2)'!F24/(1+Korting!$B$3)*(1-Korting!$B$2)*Prijsmutaties!$C$9))</f>
        <v>154.934697341157</v>
      </c>
      <c r="G24" s="13">
        <v>440</v>
      </c>
      <c r="H24" s="15"/>
      <c r="I24" s="10">
        <f>(('Suncube 150 (2)'!I24/(1+Korting!$B$3)*(1-Korting!$B$2)*Prijsmutaties!$C$9))</f>
        <v>1739.7486496621486</v>
      </c>
      <c r="J24" s="15">
        <f>(('Suncube 150 (2)'!J24/(1+Korting!$B$3)*(1-Korting!$B$2)*Prijsmutaties!$C$9))</f>
        <v>189.46833470033056</v>
      </c>
      <c r="K24" s="13">
        <v>440</v>
      </c>
      <c r="L24" s="15"/>
      <c r="M24" s="10">
        <f>(('Suncube 150 (2)'!M24/(1+Korting!$B$3)*(1-Korting!$B$2)*Prijsmutaties!$C$9))</f>
        <v>1778.0156532223139</v>
      </c>
      <c r="N24" s="15">
        <f>(('Suncube 150 (2)'!N24/(1+Korting!$B$3)*(1-Korting!$B$2)*Prijsmutaties!$C$9))</f>
        <v>194.13504245157023</v>
      </c>
      <c r="O24" s="2"/>
    </row>
    <row r="25" spans="1:15" ht="18" customHeight="1">
      <c r="A25" s="146">
        <f>(('Suncube 150 (2)'!A25/(1+Korting!$B$3)*(1-Korting!$B$2)*Prijsmutaties!$K$9))</f>
        <v>206.4262512396694</v>
      </c>
      <c r="B25" s="146">
        <f>(('Suncube 150 (2)'!B25/(1+Korting!$B$3)*(1-Korting!$B$2)*Prijsmutaties!$K$9))</f>
        <v>294.89464462809912</v>
      </c>
      <c r="C25" s="13">
        <v>460</v>
      </c>
      <c r="D25" s="15"/>
      <c r="E25" s="10">
        <f>(('Suncube 150 (2)'!E25/(1+Korting!$B$3)*(1-Korting!$B$2)*Prijsmutaties!$C$9))</f>
        <v>1695.8815968004958</v>
      </c>
      <c r="F25" s="190">
        <f>(('Suncube 150 (2)'!F25/(1+Korting!$B$3)*(1-Korting!$B$2)*Prijsmutaties!$C$9))</f>
        <v>154.934697341157</v>
      </c>
      <c r="G25" s="13">
        <v>460</v>
      </c>
      <c r="H25" s="15"/>
      <c r="I25" s="10">
        <f>(('Suncube 150 (2)'!I25/(1+Korting!$B$3)*(1-Korting!$B$2)*Prijsmutaties!$C$9))</f>
        <v>1774.2822870213222</v>
      </c>
      <c r="J25" s="15">
        <f>(('Suncube 150 (2)'!J25/(1+Korting!$B$3)*(1-Korting!$B$2)*Prijsmutaties!$C$9))</f>
        <v>189.46833470033056</v>
      </c>
      <c r="K25" s="13">
        <v>460</v>
      </c>
      <c r="L25" s="15"/>
      <c r="M25" s="10">
        <f>(('Suncube 150 (2)'!M25/(1+Korting!$B$3)*(1-Korting!$B$2)*Prijsmutaties!$C$9))</f>
        <v>1812.5492905814874</v>
      </c>
      <c r="N25" s="15">
        <f>(('Suncube 150 (2)'!N25/(1+Korting!$B$3)*(1-Korting!$B$2)*Prijsmutaties!$C$9))</f>
        <v>194.13504245157023</v>
      </c>
      <c r="O25" s="2"/>
    </row>
    <row r="26" spans="1:15" ht="18.95" customHeight="1">
      <c r="A26" s="146">
        <f>(('Suncube 150 (2)'!A26/(1+Korting!$B$3)*(1-Korting!$B$2)*Prijsmutaties!$K$9))</f>
        <v>206.4262512396694</v>
      </c>
      <c r="B26" s="146">
        <f>(('Suncube 150 (2)'!B26/(1+Korting!$B$3)*(1-Korting!$B$2)*Prijsmutaties!$K$9))</f>
        <v>294.89464462809912</v>
      </c>
      <c r="C26" s="13">
        <v>480</v>
      </c>
      <c r="D26" s="15"/>
      <c r="E26" s="10">
        <f>(('Suncube 150 (2)'!E26/(1+Korting!$B$3)*(1-Korting!$B$2)*Prijsmutaties!$C$9))</f>
        <v>1909.6168118072724</v>
      </c>
      <c r="F26" s="190">
        <f>(('Suncube 150 (2)'!F26/(1+Korting!$B$3)*(1-Korting!$B$2)*Prijsmutaties!$C$9))</f>
        <v>184.80162694909092</v>
      </c>
      <c r="G26" s="13">
        <v>480</v>
      </c>
      <c r="H26" s="15"/>
      <c r="I26" s="10">
        <f>(('Suncube 150 (2)'!I26/(1+Korting!$B$3)*(1-Korting!$B$2)*Prijsmutaties!$C$9))</f>
        <v>1977.7507449753718</v>
      </c>
      <c r="J26" s="15">
        <f>(('Suncube 150 (2)'!J26/(1+Korting!$B$3)*(1-Korting!$B$2)*Prijsmutaties!$C$9))</f>
        <v>217.46858120776858</v>
      </c>
      <c r="K26" s="13">
        <v>480</v>
      </c>
      <c r="L26" s="15"/>
      <c r="M26" s="10">
        <f>(('Suncube 150 (2)'!M26/(1+Korting!$B$3)*(1-Korting!$B$2)*Prijsmutaties!$C$9))</f>
        <v>2010.4176992340492</v>
      </c>
      <c r="N26" s="15">
        <f>(('Suncube 150 (2)'!N26/(1+Korting!$B$3)*(1-Korting!$B$2)*Prijsmutaties!$C$9))</f>
        <v>244.53548616495866</v>
      </c>
      <c r="O26" s="2"/>
    </row>
    <row r="27" spans="1:15" ht="18" customHeight="1">
      <c r="A27" s="146">
        <f>(('Suncube 150 (2)'!A27/(1+Korting!$B$3)*(1-Korting!$B$2)*Prijsmutaties!$K$9))</f>
        <v>206.4262512396694</v>
      </c>
      <c r="B27" s="146">
        <f>(('Suncube 150 (2)'!B27/(1+Korting!$B$3)*(1-Korting!$B$2)*Prijsmutaties!$K$9))</f>
        <v>294.89464462809912</v>
      </c>
      <c r="C27" s="13">
        <v>500</v>
      </c>
      <c r="D27" s="15"/>
      <c r="E27" s="10">
        <f>(('Suncube 150 (2)'!E27/(1+Korting!$B$3)*(1-Korting!$B$2)*Prijsmutaties!$C$9))</f>
        <v>1949.750498467934</v>
      </c>
      <c r="F27" s="190">
        <f>(('Suncube 150 (2)'!F27/(1+Korting!$B$3)*(1-Korting!$B$2)*Prijsmutaties!$C$9))</f>
        <v>184.80162694909092</v>
      </c>
      <c r="G27" s="13">
        <v>500</v>
      </c>
      <c r="H27" s="15"/>
      <c r="I27" s="10">
        <f>(('Suncube 150 (2)'!I27/(1+Korting!$B$3)*(1-Korting!$B$2)*Prijsmutaties!$C$9))</f>
        <v>2019.7511147365287</v>
      </c>
      <c r="J27" s="15">
        <f>(('Suncube 150 (2)'!J27/(1+Korting!$B$3)*(1-Korting!$B$2)*Prijsmutaties!$C$9))</f>
        <v>217.46858120776858</v>
      </c>
      <c r="K27" s="13">
        <v>500</v>
      </c>
      <c r="L27" s="15"/>
      <c r="M27" s="10">
        <f>(('Suncube 150 (2)'!M27/(1+Korting!$B$3)*(1-Korting!$B$2)*Prijsmutaties!$C$9))</f>
        <v>2052.4180689952068</v>
      </c>
      <c r="N27" s="15">
        <f>(('Suncube 150 (2)'!N27/(1+Korting!$B$3)*(1-Korting!$B$2)*Prijsmutaties!$C$9))</f>
        <v>244.53548616495866</v>
      </c>
      <c r="O27" s="2"/>
    </row>
    <row r="28" spans="1:15" ht="18" customHeight="1">
      <c r="A28" s="146">
        <f>(('Suncube 150 (2)'!A28/(1+Korting!$B$3)*(1-Korting!$B$2)*Prijsmutaties!$K$9))</f>
        <v>222.81892413223133</v>
      </c>
      <c r="B28" s="146">
        <f>(('Suncube 150 (2)'!B28/(1+Korting!$B$3)*(1-Korting!$B$2)*Prijsmutaties!$K$9))</f>
        <v>318.31274876033052</v>
      </c>
      <c r="C28" s="13">
        <v>520</v>
      </c>
      <c r="D28" s="15"/>
      <c r="E28" s="10">
        <f>(('Suncube 150 (2)'!E28/(1+Korting!$B$3)*(1-Korting!$B$2)*Prijsmutaties!$C$9))</f>
        <v>1990.8175266788428</v>
      </c>
      <c r="F28" s="190">
        <f>(('Suncube 150 (2)'!F28/(1+Korting!$B$3)*(1-Korting!$B$2)*Prijsmutaties!$C$9))</f>
        <v>184.80162694909092</v>
      </c>
      <c r="G28" s="13">
        <v>520</v>
      </c>
      <c r="H28" s="15"/>
      <c r="I28" s="10">
        <f>(('Suncube 150 (2)'!I28/(1+Korting!$B$3)*(1-Korting!$B$2)*Prijsmutaties!$C$9))</f>
        <v>2062.6848260479337</v>
      </c>
      <c r="J28" s="15">
        <f>(('Suncube 150 (2)'!J28/(1+Korting!$B$3)*(1-Korting!$B$2)*Prijsmutaties!$C$9))</f>
        <v>217.46858120776858</v>
      </c>
      <c r="K28" s="13">
        <v>520</v>
      </c>
      <c r="L28" s="15"/>
      <c r="M28" s="10">
        <f>(('Suncube 150 (2)'!M28/(1+Korting!$B$3)*(1-Korting!$B$2)*Prijsmutaties!$C$9))</f>
        <v>2093.4850972061154</v>
      </c>
      <c r="N28" s="15">
        <f>(('Suncube 150 (2)'!N28/(1+Korting!$B$3)*(1-Korting!$B$2)*Prijsmutaties!$C$9))</f>
        <v>244.53548616495866</v>
      </c>
      <c r="O28" s="2"/>
    </row>
    <row r="29" spans="1:15" ht="18" customHeight="1">
      <c r="A29" s="146">
        <f>(('Suncube 150 (2)'!A29/(1+Korting!$B$3)*(1-Korting!$B$2)*Prijsmutaties!$K$9))</f>
        <v>222.81892413223133</v>
      </c>
      <c r="B29" s="146">
        <f>(('Suncube 150 (2)'!B29/(1+Korting!$B$3)*(1-Korting!$B$2)*Prijsmutaties!$K$9))</f>
        <v>318.31274876033052</v>
      </c>
      <c r="C29" s="13">
        <v>540</v>
      </c>
      <c r="D29" s="15"/>
      <c r="E29" s="10">
        <f>(('Suncube 150 (2)'!E29/(1+Korting!$B$3)*(1-Korting!$B$2)*Prijsmutaties!$C$9))</f>
        <v>2021.6177978370247</v>
      </c>
      <c r="F29" s="190">
        <f>(('Suncube 150 (2)'!F29/(1+Korting!$B$3)*(1-Korting!$B$2)*Prijsmutaties!$C$9))</f>
        <v>184.80162694909092</v>
      </c>
      <c r="G29" s="13">
        <v>540</v>
      </c>
      <c r="H29" s="15"/>
      <c r="I29" s="10">
        <f>(('Suncube 150 (2)'!I29/(1+Korting!$B$3)*(1-Korting!$B$2)*Prijsmutaties!$C$9))</f>
        <v>2101.885171158347</v>
      </c>
      <c r="J29" s="15">
        <f>(('Suncube 150 (2)'!J29/(1+Korting!$B$3)*(1-Korting!$B$2)*Prijsmutaties!$C$9))</f>
        <v>217.46858120776858</v>
      </c>
      <c r="K29" s="13">
        <v>540</v>
      </c>
      <c r="L29" s="15"/>
      <c r="M29" s="10">
        <f>(('Suncube 150 (2)'!M29/(1+Korting!$B$3)*(1-Korting!$B$2)*Prijsmutaties!$C$9))</f>
        <v>2139.2188331682642</v>
      </c>
      <c r="N29" s="15">
        <f>(('Suncube 150 (2)'!N29/(1+Korting!$B$3)*(1-Korting!$B$2)*Prijsmutaties!$C$9))</f>
        <v>244.53548616495866</v>
      </c>
      <c r="O29" s="2"/>
    </row>
    <row r="30" spans="1:15" ht="18" customHeight="1">
      <c r="A30" s="146">
        <f>(('Suncube 150 (2)'!A30/(1+Korting!$B$3)*(1-Korting!$B$2)*Prijsmutaties!$K$9))</f>
        <v>240.42586909090903</v>
      </c>
      <c r="B30" s="146">
        <f>(('Suncube 150 (2)'!B30/(1+Korting!$B$3)*(1-Korting!$B$2)*Prijsmutaties!$K$9))</f>
        <v>343.46552727272729</v>
      </c>
      <c r="C30" s="13">
        <v>560</v>
      </c>
      <c r="D30" s="15"/>
      <c r="E30" s="10">
        <f>(('Suncube 150 (2)'!E30/(1+Korting!$B$3)*(1-Korting!$B$2)*Prijsmutaties!$C$9))</f>
        <v>2062.6848260479337</v>
      </c>
      <c r="F30" s="190">
        <f>(('Suncube 150 (2)'!F30/(1+Korting!$B$3)*(1-Korting!$B$2)*Prijsmutaties!$C$9))</f>
        <v>184.80162694909092</v>
      </c>
      <c r="G30" s="13">
        <v>560</v>
      </c>
      <c r="H30" s="15"/>
      <c r="I30" s="10">
        <f>(('Suncube 150 (2)'!I30/(1+Korting!$B$3)*(1-Korting!$B$2)*Prijsmutaties!$C$9))</f>
        <v>2143.8855409195039</v>
      </c>
      <c r="J30" s="15">
        <f>(('Suncube 150 (2)'!J30/(1+Korting!$B$3)*(1-Korting!$B$2)*Prijsmutaties!$C$9))</f>
        <v>217.46858120776858</v>
      </c>
      <c r="K30" s="13">
        <v>560</v>
      </c>
      <c r="L30" s="15"/>
      <c r="M30" s="10">
        <f>(('Suncube 150 (2)'!M30/(1+Korting!$B$3)*(1-Korting!$B$2)*Prijsmutaties!$C$9))</f>
        <v>2178.4191782786775</v>
      </c>
      <c r="N30" s="15">
        <f>(('Suncube 150 (2)'!N30/(1+Korting!$B$3)*(1-Korting!$B$2)*Prijsmutaties!$C$9))</f>
        <v>244.53548616495866</v>
      </c>
      <c r="O30" s="2"/>
    </row>
    <row r="31" spans="1:15" ht="18.95" customHeight="1">
      <c r="A31" s="146">
        <f>(('Suncube 150 (2)'!A31/(1+Korting!$B$3)*(1-Korting!$B$2)*Prijsmutaties!$K$9))</f>
        <v>240.42586909090903</v>
      </c>
      <c r="B31" s="146">
        <f>(('Suncube 150 (2)'!B31/(1+Korting!$B$3)*(1-Korting!$B$2)*Prijsmutaties!$K$9))</f>
        <v>343.46552727272729</v>
      </c>
      <c r="C31" s="13">
        <v>580</v>
      </c>
      <c r="D31" s="15"/>
      <c r="E31" s="10">
        <f>(('Suncube 150 (2)'!E31/(1+Korting!$B$3)*(1-Korting!$B$2)*Prijsmutaties!$C$9))</f>
        <v>2100.0184880578513</v>
      </c>
      <c r="F31" s="190">
        <f>(('Suncube 150 (2)'!F31/(1+Korting!$B$3)*(1-Korting!$B$2)*Prijsmutaties!$C$9))</f>
        <v>184.80162694909092</v>
      </c>
      <c r="G31" s="13">
        <v>580</v>
      </c>
      <c r="H31" s="15"/>
      <c r="I31" s="10">
        <f>(('Suncube 150 (2)'!I31/(1+Korting!$B$3)*(1-Korting!$B$2)*Prijsmutaties!$C$9))</f>
        <v>2182.1525444796689</v>
      </c>
      <c r="J31" s="15">
        <f>(('Suncube 150 (2)'!J31/(1+Korting!$B$3)*(1-Korting!$B$2)*Prijsmutaties!$C$9))</f>
        <v>217.46858120776858</v>
      </c>
      <c r="K31" s="13">
        <v>580</v>
      </c>
      <c r="L31" s="15"/>
      <c r="M31" s="10">
        <f>(('Suncube 150 (2)'!M31/(1+Korting!$B$3)*(1-Korting!$B$2)*Prijsmutaties!$C$9))</f>
        <v>2219.4862064895865</v>
      </c>
      <c r="N31" s="15">
        <f>(('Suncube 150 (2)'!N31/(1+Korting!$B$3)*(1-Korting!$B$2)*Prijsmutaties!$C$9))</f>
        <v>244.53548616495866</v>
      </c>
      <c r="O31" s="2"/>
    </row>
    <row r="32" spans="1:15" ht="18" customHeight="1">
      <c r="A32" s="146">
        <f>(('Suncube 150 (2)'!A32/(1+Korting!$B$3)*(1-Korting!$B$2)*Prijsmutaties!$K$9))</f>
        <v>240.42586909090903</v>
      </c>
      <c r="B32" s="146">
        <f>(('Suncube 150 (2)'!B32/(1+Korting!$B$3)*(1-Korting!$B$2)*Prijsmutaties!$K$9))</f>
        <v>343.46552727272729</v>
      </c>
      <c r="C32" s="13">
        <v>600</v>
      </c>
      <c r="D32" s="15"/>
      <c r="E32" s="10">
        <f>(('Suncube 150 (2)'!E32/(1+Korting!$B$3)*(1-Korting!$B$2)*Prijsmutaties!$C$9))</f>
        <v>2141.0855162687599</v>
      </c>
      <c r="F32" s="190">
        <f>(('Suncube 150 (2)'!F32/(1+Korting!$B$3)*(1-Korting!$B$2)*Prijsmutaties!$C$9))</f>
        <v>213.73521500677683</v>
      </c>
      <c r="G32" s="13">
        <v>600</v>
      </c>
      <c r="H32" s="15"/>
      <c r="I32" s="10">
        <f>(('Suncube 150 (2)'!I32/(1+Korting!$B$3)*(1-Korting!$B$2)*Prijsmutaties!$C$9))</f>
        <v>2226.019597341322</v>
      </c>
      <c r="J32" s="15">
        <f>(('Suncube 150 (2)'!J32/(1+Korting!$B$3)*(1-Korting!$B$2)*Prijsmutaties!$C$9))</f>
        <v>258.53560941867761</v>
      </c>
      <c r="K32" s="13">
        <v>600</v>
      </c>
      <c r="L32" s="15"/>
      <c r="M32" s="10">
        <f>(('Suncube 150 (2)'!M32/(1+Korting!$B$3)*(1-Korting!$B$2)*Prijsmutaties!$C$9))</f>
        <v>2255.8865269492562</v>
      </c>
      <c r="N32" s="15">
        <f>(('Suncube 150 (2)'!N32/(1+Korting!$B$3)*(1-Korting!$B$2)*Prijsmutaties!$C$9))</f>
        <v>289.33588057685949</v>
      </c>
      <c r="O32" s="2"/>
    </row>
    <row r="34" spans="1:11" ht="16.5" customHeight="1">
      <c r="A34" s="917" t="s">
        <v>387</v>
      </c>
      <c r="B34" s="918"/>
      <c r="C34" s="918"/>
      <c r="D34" s="918"/>
      <c r="E34" s="919"/>
      <c r="G34" s="917" t="s">
        <v>406</v>
      </c>
      <c r="H34" s="918"/>
      <c r="I34" s="918"/>
      <c r="J34" s="918"/>
      <c r="K34" s="919"/>
    </row>
    <row r="35" spans="1:11" ht="16.5">
      <c r="A35" s="539" t="s">
        <v>404</v>
      </c>
      <c r="B35" s="540"/>
      <c r="C35" s="540"/>
      <c r="D35" s="540"/>
      <c r="E35" s="15">
        <f>(('Suncube 150 (2)'!E35/(1+Korting!$B$3)*(1-Korting!$B$2)*Prijsmutaties!$K$9))</f>
        <v>-247.08571770495865</v>
      </c>
      <c r="G35" s="539" t="s">
        <v>405</v>
      </c>
      <c r="H35" s="540"/>
      <c r="I35" s="540"/>
      <c r="J35" s="540"/>
      <c r="K35" s="15">
        <f>(('Suncube 150 (2)'!K35/(1+Korting!$B$3)*(1-Korting!$B$2)*Prijsmutaties!$K$9))</f>
        <v>0</v>
      </c>
    </row>
  </sheetData>
  <sheetProtection algorithmName="SHA-512" hashValue="HP3+qxiSdOmKimsfwiJllSmgb+7ZmxSVFGEXX6X2WDiS7Vtd5qk1u9ryqY+TTNBqR4IJ08XBD52+acWEJbUZ1g==" saltValue="VhKwppseKyyHHFEeq6xuqQ==" spinCount="100000" sheet="1" objects="1" scenarios="1"/>
  <mergeCells count="10">
    <mergeCell ref="A34:E34"/>
    <mergeCell ref="A35:D35"/>
    <mergeCell ref="G34:K34"/>
    <mergeCell ref="G35:J35"/>
    <mergeCell ref="A6:B6"/>
    <mergeCell ref="A1:O1"/>
    <mergeCell ref="A2:N2"/>
    <mergeCell ref="G3:J5"/>
    <mergeCell ref="K3:N5"/>
    <mergeCell ref="C3:F5"/>
  </mergeCells>
  <pageMargins left="0.70866141732283472" right="0.70866141732283472" top="0.74803149606299213" bottom="0.74803149606299213" header="0.31496062992125984" footer="0.31496062992125984"/>
  <pageSetup paperSize="9" scale="79" orientation="portrait" r:id="rId1"/>
  <headerFooter>
    <oddFooter>&amp;L&amp;D&amp;C&amp;F
Tabblad &amp;A&amp;RInkoopprijslijst excl. BTW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9A5B-96BE-46EB-A1DD-2A93A7790CD7}">
  <sheetPr codeName="Blad38">
    <tabColor theme="6" tint="-0.499984740745262"/>
  </sheetPr>
  <dimension ref="A1:Q34"/>
  <sheetViews>
    <sheetView topLeftCell="A17" workbookViewId="0">
      <selection activeCell="P15" sqref="P15:P24"/>
    </sheetView>
  </sheetViews>
  <sheetFormatPr defaultRowHeight="12.75"/>
  <cols>
    <col min="1" max="1" width="7.1640625" customWidth="1"/>
    <col min="2" max="2" width="6" customWidth="1"/>
    <col min="3" max="3" width="8.83203125" customWidth="1"/>
    <col min="4" max="4" width="11.83203125" customWidth="1"/>
    <col min="5" max="5" width="7.83203125" customWidth="1"/>
    <col min="6" max="6" width="10.1640625" bestFit="1" customWidth="1"/>
    <col min="7" max="7" width="10.83203125" customWidth="1"/>
    <col min="8" max="8" width="9.1640625" customWidth="1"/>
    <col min="9" max="9" width="11.83203125" customWidth="1"/>
    <col min="10" max="10" width="7.83203125" customWidth="1"/>
    <col min="11" max="11" width="7.5" customWidth="1"/>
    <col min="12" max="12" width="1.5" customWidth="1"/>
    <col min="13" max="13" width="8.83203125" customWidth="1"/>
    <col min="14" max="14" width="11.83203125" customWidth="1"/>
    <col min="15" max="15" width="7.83203125" customWidth="1"/>
    <col min="16" max="16" width="7.5" customWidth="1"/>
    <col min="17" max="17" width="14" customWidth="1"/>
  </cols>
  <sheetData>
    <row r="1" spans="1:17" ht="33.75" customHeight="1">
      <c r="A1" s="925" t="s">
        <v>228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</row>
    <row r="2" spans="1:17" ht="24" customHeight="1">
      <c r="A2" s="926" t="s">
        <v>268</v>
      </c>
      <c r="B2" s="927"/>
      <c r="C2" s="927"/>
      <c r="D2" s="927"/>
      <c r="E2" s="927"/>
      <c r="F2" s="927"/>
      <c r="G2" s="927"/>
      <c r="H2" s="927"/>
      <c r="I2" s="927"/>
      <c r="J2" s="927"/>
      <c r="K2" s="927"/>
      <c r="L2" s="927"/>
      <c r="M2" s="927"/>
      <c r="N2" s="927"/>
      <c r="O2" s="927"/>
      <c r="P2" s="927"/>
    </row>
    <row r="3" spans="1:17" ht="36.200000000000003" customHeight="1">
      <c r="A3" s="928" t="s">
        <v>229</v>
      </c>
      <c r="B3" s="928"/>
      <c r="C3" s="928"/>
      <c r="D3" s="928"/>
      <c r="E3" s="928"/>
      <c r="F3" s="928"/>
      <c r="G3" s="928"/>
      <c r="H3" s="929" t="s">
        <v>230</v>
      </c>
      <c r="I3" s="929"/>
      <c r="J3" s="929"/>
      <c r="K3" s="929"/>
      <c r="L3" s="930" t="s">
        <v>231</v>
      </c>
      <c r="M3" s="930"/>
      <c r="N3" s="930"/>
      <c r="O3" s="930"/>
      <c r="P3" s="930"/>
      <c r="Q3" s="930"/>
    </row>
    <row r="4" spans="1:17" ht="18.2" customHeight="1">
      <c r="A4" s="902" t="s">
        <v>142</v>
      </c>
      <c r="B4" s="931"/>
      <c r="C4" s="105" t="s">
        <v>130</v>
      </c>
      <c r="D4" s="101" t="s">
        <v>219</v>
      </c>
      <c r="E4" s="105" t="s">
        <v>220</v>
      </c>
      <c r="F4" s="101" t="s">
        <v>221</v>
      </c>
      <c r="G4" s="756" t="s">
        <v>130</v>
      </c>
      <c r="H4" s="757"/>
      <c r="I4" s="101" t="s">
        <v>219</v>
      </c>
      <c r="J4" s="105" t="s">
        <v>220</v>
      </c>
      <c r="K4" s="654" t="s">
        <v>221</v>
      </c>
      <c r="L4" s="655"/>
      <c r="M4" s="105" t="s">
        <v>130</v>
      </c>
      <c r="N4" s="101" t="s">
        <v>219</v>
      </c>
      <c r="O4" s="105" t="s">
        <v>220</v>
      </c>
      <c r="P4" s="121" t="s">
        <v>221</v>
      </c>
    </row>
    <row r="5" spans="1:17" ht="29.1" customHeight="1">
      <c r="A5" s="144" t="s">
        <v>143</v>
      </c>
      <c r="B5" s="296" t="s">
        <v>144</v>
      </c>
      <c r="C5" s="105" t="s">
        <v>133</v>
      </c>
      <c r="D5" s="101" t="s">
        <v>222</v>
      </c>
      <c r="E5" s="105" t="s">
        <v>232</v>
      </c>
      <c r="F5" s="121" t="s">
        <v>223</v>
      </c>
      <c r="G5" s="756" t="s">
        <v>133</v>
      </c>
      <c r="H5" s="757"/>
      <c r="I5" s="101" t="s">
        <v>222</v>
      </c>
      <c r="J5" s="105" t="s">
        <v>232</v>
      </c>
      <c r="K5" s="654" t="s">
        <v>223</v>
      </c>
      <c r="L5" s="655"/>
      <c r="M5" s="105" t="s">
        <v>133</v>
      </c>
      <c r="N5" s="101" t="s">
        <v>222</v>
      </c>
      <c r="O5" s="105" t="s">
        <v>232</v>
      </c>
      <c r="P5" s="121" t="s">
        <v>227</v>
      </c>
    </row>
    <row r="6" spans="1:17" ht="18.2" customHeight="1">
      <c r="A6" s="145"/>
      <c r="B6" s="297"/>
      <c r="C6" s="18"/>
      <c r="D6" s="8"/>
      <c r="E6" s="18"/>
      <c r="F6" s="8"/>
      <c r="G6" s="584"/>
      <c r="H6" s="585"/>
      <c r="I6" s="8"/>
      <c r="J6" s="18"/>
      <c r="K6" s="932"/>
      <c r="L6" s="933"/>
      <c r="M6" s="18"/>
      <c r="N6" s="8"/>
      <c r="O6" s="18"/>
      <c r="P6" s="8"/>
    </row>
    <row r="7" spans="1:17" ht="18.2" customHeight="1">
      <c r="A7" s="146">
        <f>B7*0.7</f>
        <v>73.232799245994343</v>
      </c>
      <c r="B7" s="298">
        <v>104.61828463713478</v>
      </c>
      <c r="C7" s="13">
        <v>80</v>
      </c>
      <c r="D7" s="15">
        <v>396.79547596606977</v>
      </c>
      <c r="E7" s="10">
        <v>768.14326107445811</v>
      </c>
      <c r="F7" s="15">
        <v>45.240339302544768</v>
      </c>
      <c r="G7" s="568">
        <v>80</v>
      </c>
      <c r="H7" s="569"/>
      <c r="I7" s="15">
        <v>416.58812441093312</v>
      </c>
      <c r="J7" s="10">
        <v>792.64844486333652</v>
      </c>
      <c r="K7" s="15">
        <v>49.010367577756838</v>
      </c>
      <c r="L7" s="411">
        <f>G7/1.061</f>
        <v>75.400565504241285</v>
      </c>
      <c r="M7" s="13">
        <v>80</v>
      </c>
      <c r="N7" s="15">
        <v>433.55325164938739</v>
      </c>
      <c r="O7" s="10">
        <v>804.90103675777573</v>
      </c>
      <c r="P7" s="8"/>
    </row>
    <row r="8" spans="1:17" ht="18.2" customHeight="1">
      <c r="A8" s="146">
        <f t="shared" ref="A8:A33" si="0">B8*0.7</f>
        <v>73.232799245994343</v>
      </c>
      <c r="B8" s="298">
        <v>104.61828463713478</v>
      </c>
      <c r="C8" s="13">
        <v>100</v>
      </c>
      <c r="D8" s="15">
        <v>433.55325164938739</v>
      </c>
      <c r="E8" s="10">
        <v>804.90103675777573</v>
      </c>
      <c r="F8" s="15">
        <v>45.240339302544768</v>
      </c>
      <c r="G8" s="568">
        <v>100</v>
      </c>
      <c r="H8" s="569"/>
      <c r="I8" s="15">
        <v>451.46088595664469</v>
      </c>
      <c r="J8" s="10">
        <v>825.63619227144204</v>
      </c>
      <c r="K8" s="15">
        <v>49.010367577756838</v>
      </c>
      <c r="L8" s="411">
        <f t="shared" ref="L8:L33" si="1">G8/1.061</f>
        <v>94.250706880301607</v>
      </c>
      <c r="M8" s="13">
        <v>100</v>
      </c>
      <c r="N8" s="15">
        <v>468.42601319509896</v>
      </c>
      <c r="O8" s="10">
        <v>836.00377002827531</v>
      </c>
      <c r="P8" s="8"/>
    </row>
    <row r="9" spans="1:17" ht="18.2" customHeight="1">
      <c r="A9" s="146">
        <f t="shared" si="0"/>
        <v>89.066918001885014</v>
      </c>
      <c r="B9" s="298">
        <v>127.23845428840717</v>
      </c>
      <c r="C9" s="13">
        <v>120</v>
      </c>
      <c r="D9" s="15">
        <v>461.8284637134779</v>
      </c>
      <c r="E9" s="10">
        <v>831.29123468426019</v>
      </c>
      <c r="F9" s="15">
        <v>80.113100848256366</v>
      </c>
      <c r="G9" s="568">
        <v>120</v>
      </c>
      <c r="H9" s="569"/>
      <c r="I9" s="15">
        <v>486.33364750235631</v>
      </c>
      <c r="J9" s="10">
        <v>857.68143261074465</v>
      </c>
      <c r="K9" s="15">
        <v>94.250706880301607</v>
      </c>
      <c r="L9" s="411">
        <f t="shared" si="1"/>
        <v>113.10084825636193</v>
      </c>
      <c r="M9" s="13">
        <v>120</v>
      </c>
      <c r="N9" s="15">
        <v>502.35626767200756</v>
      </c>
      <c r="O9" s="10">
        <v>872.76154571159293</v>
      </c>
      <c r="P9" s="8"/>
    </row>
    <row r="10" spans="1:17" ht="18.2" customHeight="1">
      <c r="A10" s="146">
        <f t="shared" si="0"/>
        <v>89.066918001885014</v>
      </c>
      <c r="B10" s="298">
        <v>127.23845428840717</v>
      </c>
      <c r="C10" s="13">
        <v>140</v>
      </c>
      <c r="D10" s="15">
        <v>494.81621112158342</v>
      </c>
      <c r="E10" s="10">
        <v>864.27898209236571</v>
      </c>
      <c r="F10" s="15">
        <v>80.113100848256366</v>
      </c>
      <c r="G10" s="568">
        <v>140</v>
      </c>
      <c r="H10" s="569"/>
      <c r="I10" s="15">
        <v>521.20640904806794</v>
      </c>
      <c r="J10" s="10">
        <v>897.26672950047134</v>
      </c>
      <c r="K10" s="15">
        <v>94.250706880301607</v>
      </c>
      <c r="L10" s="411">
        <f t="shared" si="1"/>
        <v>131.95098963242225</v>
      </c>
      <c r="M10" s="13">
        <v>140</v>
      </c>
      <c r="N10" s="15">
        <v>535.34401508011308</v>
      </c>
      <c r="O10" s="10">
        <v>904.80678605089543</v>
      </c>
      <c r="P10" s="8"/>
    </row>
    <row r="11" spans="1:17" ht="18.2" customHeight="1">
      <c r="A11" s="146">
        <f t="shared" si="0"/>
        <v>109.51932139491046</v>
      </c>
      <c r="B11" s="298">
        <v>156.45617342130066</v>
      </c>
      <c r="C11" s="13">
        <v>160</v>
      </c>
      <c r="D11" s="15">
        <v>523.09142318567388</v>
      </c>
      <c r="E11" s="10">
        <v>899.15174363807728</v>
      </c>
      <c r="F11" s="15">
        <v>80.113100848256366</v>
      </c>
      <c r="G11" s="568">
        <v>160</v>
      </c>
      <c r="H11" s="569"/>
      <c r="I11" s="15">
        <v>551.36663524976439</v>
      </c>
      <c r="J11" s="10">
        <v>927.42695570216779</v>
      </c>
      <c r="K11" s="15">
        <v>94.250706880301607</v>
      </c>
      <c r="L11" s="411">
        <f t="shared" si="1"/>
        <v>150.80113100848257</v>
      </c>
      <c r="M11" s="13">
        <v>160</v>
      </c>
      <c r="N11" s="15">
        <v>572.10179076343081</v>
      </c>
      <c r="O11" s="10">
        <v>939.67954759660699</v>
      </c>
      <c r="P11" s="8"/>
      <c r="Q11" s="924" t="s">
        <v>343</v>
      </c>
    </row>
    <row r="12" spans="1:17" ht="18.2" customHeight="1">
      <c r="A12" s="146">
        <f t="shared" si="0"/>
        <v>109.51932139491046</v>
      </c>
      <c r="B12" s="298">
        <v>156.45617342130066</v>
      </c>
      <c r="C12" s="13">
        <v>180</v>
      </c>
      <c r="D12" s="15">
        <v>551.36663524976439</v>
      </c>
      <c r="E12" s="10">
        <v>927.42695570216779</v>
      </c>
      <c r="F12" s="15">
        <v>80.113100848256366</v>
      </c>
      <c r="G12" s="568">
        <v>180</v>
      </c>
      <c r="H12" s="569"/>
      <c r="I12" s="15">
        <v>592.83694627709713</v>
      </c>
      <c r="J12" s="10">
        <v>966.06974552309146</v>
      </c>
      <c r="K12" s="15">
        <v>94.250706880301607</v>
      </c>
      <c r="L12" s="411">
        <f t="shared" si="1"/>
        <v>169.65127238454289</v>
      </c>
      <c r="M12" s="13">
        <v>180</v>
      </c>
      <c r="N12" s="15">
        <v>605.08953817153633</v>
      </c>
      <c r="O12" s="10">
        <v>978.32233741753066</v>
      </c>
      <c r="P12" s="8"/>
      <c r="Q12" s="924"/>
    </row>
    <row r="13" spans="1:17" ht="18.2" customHeight="1">
      <c r="A13" s="146">
        <f t="shared" si="0"/>
        <v>109.51932139491046</v>
      </c>
      <c r="B13" s="298">
        <v>156.45617342130066</v>
      </c>
      <c r="C13" s="13">
        <v>200</v>
      </c>
      <c r="D13" s="15">
        <v>592.83694627709713</v>
      </c>
      <c r="E13" s="10">
        <v>964.18473138548541</v>
      </c>
      <c r="F13" s="15">
        <v>80.113100848256366</v>
      </c>
      <c r="G13" s="568">
        <v>200</v>
      </c>
      <c r="H13" s="569"/>
      <c r="I13" s="15">
        <v>627.7097078228087</v>
      </c>
      <c r="J13" s="10">
        <v>997.17247879359104</v>
      </c>
      <c r="K13" s="15">
        <v>94.250706880301607</v>
      </c>
      <c r="L13" s="411">
        <f t="shared" si="1"/>
        <v>188.50141376060321</v>
      </c>
      <c r="M13" s="13">
        <v>200</v>
      </c>
      <c r="N13" s="15">
        <v>643.73232799246</v>
      </c>
      <c r="O13" s="10">
        <v>1016.9651272384543</v>
      </c>
      <c r="P13" s="8"/>
      <c r="Q13" s="924"/>
    </row>
    <row r="14" spans="1:17" ht="18.2" customHeight="1">
      <c r="A14" s="146">
        <f t="shared" si="0"/>
        <v>125.35344015080113</v>
      </c>
      <c r="B14" s="298">
        <v>179.07634307257305</v>
      </c>
      <c r="C14" s="13">
        <v>220</v>
      </c>
      <c r="D14" s="15">
        <v>617.34213006597554</v>
      </c>
      <c r="E14" s="10">
        <v>992.45994344957592</v>
      </c>
      <c r="F14" s="15">
        <v>80.113100848256366</v>
      </c>
      <c r="G14" s="568">
        <v>220</v>
      </c>
      <c r="H14" s="569"/>
      <c r="I14" s="15">
        <v>664.46748350612631</v>
      </c>
      <c r="J14" s="10">
        <v>1032.0452403393026</v>
      </c>
      <c r="K14" s="15">
        <v>94.250706880301607</v>
      </c>
      <c r="L14" s="411">
        <f t="shared" si="1"/>
        <v>207.35155513666353</v>
      </c>
      <c r="M14" s="13">
        <v>220</v>
      </c>
      <c r="N14" s="15">
        <v>676.72007540056552</v>
      </c>
      <c r="O14" s="10">
        <v>1048.0678605089538</v>
      </c>
      <c r="P14" s="8"/>
      <c r="Q14" s="924"/>
    </row>
    <row r="15" spans="1:17" ht="18.2" customHeight="1">
      <c r="A15" s="146">
        <f t="shared" si="0"/>
        <v>125.35344015080113</v>
      </c>
      <c r="B15" s="298">
        <v>179.07634307257305</v>
      </c>
      <c r="C15" s="13">
        <v>240</v>
      </c>
      <c r="D15" s="15">
        <v>652.21489161168711</v>
      </c>
      <c r="E15" s="10">
        <v>1023.5626767200755</v>
      </c>
      <c r="F15" s="15">
        <v>116.870876531574</v>
      </c>
      <c r="G15" s="568">
        <v>240</v>
      </c>
      <c r="H15" s="569"/>
      <c r="I15" s="15">
        <v>694.62770970782287</v>
      </c>
      <c r="J15" s="10">
        <v>1065.9754948162113</v>
      </c>
      <c r="K15" s="15">
        <v>131.00848256361922</v>
      </c>
      <c r="L15" s="411">
        <f t="shared" si="1"/>
        <v>226.20169651272386</v>
      </c>
      <c r="M15" s="13">
        <v>240</v>
      </c>
      <c r="N15" s="15">
        <v>710.65032987747406</v>
      </c>
      <c r="O15" s="10">
        <v>1084.8256361922715</v>
      </c>
      <c r="P15" s="147"/>
      <c r="Q15" s="924"/>
    </row>
    <row r="16" spans="1:17" ht="18.2" customHeight="1">
      <c r="A16" s="146">
        <f t="shared" si="0"/>
        <v>147.1253534401508</v>
      </c>
      <c r="B16" s="298">
        <v>210.17907634307258</v>
      </c>
      <c r="C16" s="13">
        <v>260</v>
      </c>
      <c r="D16" s="15">
        <v>680.49010367577762</v>
      </c>
      <c r="E16" s="10">
        <v>1056.550424128181</v>
      </c>
      <c r="F16" s="15">
        <v>116.870876531574</v>
      </c>
      <c r="G16" s="568">
        <v>260</v>
      </c>
      <c r="H16" s="569"/>
      <c r="I16" s="15">
        <v>731.38548539114049</v>
      </c>
      <c r="J16" s="10">
        <v>1097.0782280867106</v>
      </c>
      <c r="K16" s="15">
        <v>131.00848256361922</v>
      </c>
      <c r="L16" s="411">
        <f t="shared" si="1"/>
        <v>245.05183788878418</v>
      </c>
      <c r="M16" s="13">
        <v>260</v>
      </c>
      <c r="N16" s="15">
        <v>747.4081055607918</v>
      </c>
      <c r="O16" s="10">
        <v>1121.583411875589</v>
      </c>
      <c r="P16" s="147"/>
      <c r="Q16" s="924"/>
    </row>
    <row r="17" spans="1:17" ht="18.2" customHeight="1">
      <c r="A17" s="146">
        <f t="shared" si="0"/>
        <v>147.1253534401508</v>
      </c>
      <c r="B17" s="298">
        <v>210.17907634307258</v>
      </c>
      <c r="C17" s="13">
        <v>280</v>
      </c>
      <c r="D17" s="15">
        <v>713.47785108388314</v>
      </c>
      <c r="E17" s="10">
        <v>1088.5956644674836</v>
      </c>
      <c r="F17" s="15">
        <v>116.870876531574</v>
      </c>
      <c r="G17" s="568">
        <v>280</v>
      </c>
      <c r="H17" s="569"/>
      <c r="I17" s="15">
        <v>762.48821866163996</v>
      </c>
      <c r="J17" s="10">
        <v>1135.7210179076344</v>
      </c>
      <c r="K17" s="15">
        <v>131.00848256361922</v>
      </c>
      <c r="L17" s="411">
        <f t="shared" si="1"/>
        <v>263.9019792648445</v>
      </c>
      <c r="M17" s="13">
        <v>280</v>
      </c>
      <c r="N17" s="15">
        <v>782.28086710650336</v>
      </c>
      <c r="O17" s="10">
        <v>1154.5711592836947</v>
      </c>
      <c r="P17" s="147"/>
      <c r="Q17" s="924"/>
    </row>
    <row r="18" spans="1:17" ht="18.2" customHeight="1">
      <c r="A18" s="146">
        <f t="shared" si="0"/>
        <v>147.1253534401508</v>
      </c>
      <c r="B18" s="298">
        <v>210.17907634307258</v>
      </c>
      <c r="C18" s="13">
        <v>300</v>
      </c>
      <c r="D18" s="15">
        <v>745.52309142318575</v>
      </c>
      <c r="E18" s="10">
        <v>1121.583411875589</v>
      </c>
      <c r="F18" s="15">
        <v>116.870876531574</v>
      </c>
      <c r="G18" s="568">
        <v>300</v>
      </c>
      <c r="H18" s="569"/>
      <c r="I18" s="15">
        <v>799.24599434495758</v>
      </c>
      <c r="J18" s="10">
        <v>1170.5937794533459</v>
      </c>
      <c r="K18" s="15">
        <v>131.00848256361922</v>
      </c>
      <c r="L18" s="411">
        <f t="shared" si="1"/>
        <v>282.75212064090482</v>
      </c>
      <c r="M18" s="13">
        <v>300</v>
      </c>
      <c r="N18" s="15">
        <v>823.75117813383599</v>
      </c>
      <c r="O18" s="10">
        <v>1188.5014137606033</v>
      </c>
      <c r="P18" s="147"/>
      <c r="Q18" s="924"/>
    </row>
    <row r="19" spans="1:17" ht="18.2" customHeight="1">
      <c r="A19" s="146">
        <f t="shared" si="0"/>
        <v>163.61922714420359</v>
      </c>
      <c r="B19" s="298">
        <v>233.741753063148</v>
      </c>
      <c r="C19" s="13">
        <v>320</v>
      </c>
      <c r="D19" s="15">
        <v>778.51083883129127</v>
      </c>
      <c r="E19" s="10">
        <v>1149.8586239396795</v>
      </c>
      <c r="F19" s="15">
        <v>116.870876531574</v>
      </c>
      <c r="G19" s="568">
        <v>320</v>
      </c>
      <c r="H19" s="569"/>
      <c r="I19" s="15">
        <v>831.29123468426019</v>
      </c>
      <c r="J19" s="10">
        <v>1203.5815268614515</v>
      </c>
      <c r="K19" s="15">
        <v>131.00848256361922</v>
      </c>
      <c r="L19" s="411">
        <f t="shared" si="1"/>
        <v>301.60226201696514</v>
      </c>
      <c r="M19" s="13">
        <v>320</v>
      </c>
      <c r="N19" s="15">
        <v>855.7964184731386</v>
      </c>
      <c r="O19" s="10">
        <v>1228.0867106503299</v>
      </c>
      <c r="P19" s="147"/>
      <c r="Q19" s="924"/>
    </row>
    <row r="20" spans="1:17" ht="18.2" customHeight="1">
      <c r="A20" s="146">
        <f t="shared" si="0"/>
        <v>163.61922714420359</v>
      </c>
      <c r="B20" s="298">
        <v>233.741753063148</v>
      </c>
      <c r="C20" s="13">
        <v>340</v>
      </c>
      <c r="D20" s="15">
        <v>813.38360037700284</v>
      </c>
      <c r="E20" s="10">
        <v>1182.8463713477852</v>
      </c>
      <c r="F20" s="15">
        <v>116.870876531574</v>
      </c>
      <c r="G20" s="568">
        <v>340</v>
      </c>
      <c r="H20" s="569"/>
      <c r="I20" s="15">
        <v>866.16399622997176</v>
      </c>
      <c r="J20" s="10">
        <v>1237.5117813383602</v>
      </c>
      <c r="K20" s="15">
        <v>131.00848256361922</v>
      </c>
      <c r="L20" s="411">
        <f t="shared" si="1"/>
        <v>320.45240339302546</v>
      </c>
      <c r="M20" s="13">
        <v>340</v>
      </c>
      <c r="N20" s="15">
        <v>892.55419415645622</v>
      </c>
      <c r="O20" s="10">
        <v>1258.2469368520265</v>
      </c>
      <c r="P20" s="147"/>
      <c r="Q20" s="924"/>
    </row>
    <row r="21" spans="1:17" ht="18.2" customHeight="1">
      <c r="A21" s="146">
        <f t="shared" si="0"/>
        <v>180.77285579641847</v>
      </c>
      <c r="B21" s="298">
        <v>258.24693685202641</v>
      </c>
      <c r="C21" s="13">
        <v>360</v>
      </c>
      <c r="D21" s="15">
        <v>841.65881244109335</v>
      </c>
      <c r="E21" s="10">
        <v>1217.7191328934969</v>
      </c>
      <c r="F21" s="15">
        <v>145.14608859566448</v>
      </c>
      <c r="G21" s="568">
        <v>360</v>
      </c>
      <c r="H21" s="569"/>
      <c r="I21" s="15">
        <v>901.03675777568333</v>
      </c>
      <c r="J21" s="10">
        <v>1277.0970782280867</v>
      </c>
      <c r="K21" s="15">
        <v>178.13383600377003</v>
      </c>
      <c r="L21" s="411">
        <f t="shared" si="1"/>
        <v>339.30254476908578</v>
      </c>
      <c r="M21" s="13">
        <v>360</v>
      </c>
      <c r="N21" s="15">
        <v>927.42695570216779</v>
      </c>
      <c r="O21" s="10">
        <v>1296.88972667295</v>
      </c>
      <c r="P21" s="147"/>
      <c r="Q21" s="924"/>
    </row>
    <row r="22" spans="1:17" ht="18.2" customHeight="1">
      <c r="A22" s="146">
        <f t="shared" si="0"/>
        <v>180.77285579641847</v>
      </c>
      <c r="B22" s="298">
        <v>258.24693685202641</v>
      </c>
      <c r="C22" s="13">
        <v>380</v>
      </c>
      <c r="D22" s="15">
        <v>874.64655984919887</v>
      </c>
      <c r="E22" s="10">
        <v>1245.9943449575871</v>
      </c>
      <c r="F22" s="15">
        <v>145.14608859566448</v>
      </c>
      <c r="G22" s="568">
        <v>380</v>
      </c>
      <c r="H22" s="569"/>
      <c r="I22" s="15">
        <v>934.02450518378896</v>
      </c>
      <c r="J22" s="10">
        <v>1305.3722902921772</v>
      </c>
      <c r="K22" s="15">
        <v>178.13383600377003</v>
      </c>
      <c r="L22" s="411">
        <f t="shared" si="1"/>
        <v>358.15268614514611</v>
      </c>
      <c r="M22" s="13">
        <v>380</v>
      </c>
      <c r="N22" s="15">
        <v>964.18473138548541</v>
      </c>
      <c r="O22" s="10">
        <v>1331.7624882186617</v>
      </c>
      <c r="P22" s="147"/>
      <c r="Q22" s="924"/>
    </row>
    <row r="23" spans="1:17" ht="18.2" customHeight="1">
      <c r="A23" s="146">
        <f t="shared" si="0"/>
        <v>180.77285579641847</v>
      </c>
      <c r="B23" s="298">
        <v>258.24693685202641</v>
      </c>
      <c r="C23" s="13">
        <v>400</v>
      </c>
      <c r="D23" s="15">
        <v>902.92177191328938</v>
      </c>
      <c r="E23" s="10">
        <v>1278.9820923656928</v>
      </c>
      <c r="F23" s="15">
        <v>145.14608859566448</v>
      </c>
      <c r="G23" s="568">
        <v>400</v>
      </c>
      <c r="H23" s="569"/>
      <c r="I23" s="15">
        <v>970.78228086710658</v>
      </c>
      <c r="J23" s="10">
        <v>1342.130065975495</v>
      </c>
      <c r="K23" s="15">
        <v>178.13383600377003</v>
      </c>
      <c r="L23" s="411">
        <f t="shared" si="1"/>
        <v>377.00282752120643</v>
      </c>
      <c r="M23" s="13">
        <v>400</v>
      </c>
      <c r="N23" s="15">
        <v>995.28746465598499</v>
      </c>
      <c r="O23" s="10">
        <v>1372.2902921771913</v>
      </c>
      <c r="P23" s="147"/>
      <c r="Q23" s="924"/>
    </row>
    <row r="24" spans="1:17" ht="18.2" customHeight="1">
      <c r="A24" s="146">
        <f t="shared" si="0"/>
        <v>246.74835061262959</v>
      </c>
      <c r="B24" s="298">
        <v>352.49764373232802</v>
      </c>
      <c r="C24" s="13">
        <v>420</v>
      </c>
      <c r="D24" s="15">
        <v>935.90951932139501</v>
      </c>
      <c r="E24" s="10">
        <v>1309.1423185673893</v>
      </c>
      <c r="F24" s="15">
        <v>145.14608859566448</v>
      </c>
      <c r="G24" s="568">
        <v>420</v>
      </c>
      <c r="H24" s="569"/>
      <c r="I24" s="15">
        <v>1002.8275212064091</v>
      </c>
      <c r="J24" s="10">
        <v>1380.7728557964185</v>
      </c>
      <c r="K24" s="15">
        <v>178.13383600377003</v>
      </c>
      <c r="L24" s="411">
        <f t="shared" si="1"/>
        <v>395.85296889726675</v>
      </c>
      <c r="M24" s="13">
        <v>420</v>
      </c>
      <c r="N24" s="15">
        <v>1032.0452403393026</v>
      </c>
      <c r="O24" s="10">
        <v>1401.5080113100848</v>
      </c>
      <c r="P24" s="147"/>
      <c r="Q24" s="924"/>
    </row>
    <row r="25" spans="1:17" ht="18.2" customHeight="1">
      <c r="A25" s="146">
        <f t="shared" si="0"/>
        <v>246.74835061262959</v>
      </c>
      <c r="B25" s="298">
        <v>352.49764373232802</v>
      </c>
      <c r="C25" s="13">
        <v>440</v>
      </c>
      <c r="D25" s="15">
        <v>970.78228086710658</v>
      </c>
      <c r="E25" s="10">
        <v>1342.130065975495</v>
      </c>
      <c r="F25" s="15">
        <v>145.14608859566448</v>
      </c>
      <c r="G25" s="568">
        <v>440</v>
      </c>
      <c r="H25" s="569"/>
      <c r="I25" s="15">
        <v>1037.7002827521208</v>
      </c>
      <c r="J25" s="10">
        <v>1409.048067860509</v>
      </c>
      <c r="K25" s="15">
        <v>178.13383600377003</v>
      </c>
      <c r="L25" s="411">
        <f t="shared" si="1"/>
        <v>414.70311027332707</v>
      </c>
      <c r="M25" s="13">
        <v>440</v>
      </c>
      <c r="N25" s="15">
        <v>1068.8030160226201</v>
      </c>
      <c r="O25" s="10">
        <v>1438.2657869934026</v>
      </c>
      <c r="P25" s="8"/>
      <c r="Q25" s="924"/>
    </row>
    <row r="26" spans="1:17" ht="18.2" customHeight="1">
      <c r="A26" s="146">
        <f t="shared" si="0"/>
        <v>246.74835061262959</v>
      </c>
      <c r="B26" s="298">
        <v>352.49764373232802</v>
      </c>
      <c r="C26" s="13">
        <v>460</v>
      </c>
      <c r="D26" s="15">
        <v>1000.942507068803</v>
      </c>
      <c r="E26" s="10">
        <v>1378.8878416588125</v>
      </c>
      <c r="F26" s="15">
        <v>145.14608859566448</v>
      </c>
      <c r="G26" s="568">
        <v>460</v>
      </c>
      <c r="H26" s="569"/>
      <c r="I26" s="15">
        <v>1074.4580584354383</v>
      </c>
      <c r="J26" s="10">
        <v>1448.6333647502356</v>
      </c>
      <c r="K26" s="15">
        <v>178.13383600377003</v>
      </c>
      <c r="L26" s="411">
        <f t="shared" si="1"/>
        <v>433.55325164938739</v>
      </c>
      <c r="M26" s="13">
        <v>460</v>
      </c>
      <c r="N26" s="15">
        <v>1098.9632422243167</v>
      </c>
      <c r="O26" s="10">
        <v>1478.7935909519322</v>
      </c>
      <c r="P26" s="8"/>
      <c r="Q26" s="924"/>
    </row>
    <row r="27" spans="1:17" ht="18.2" customHeight="1">
      <c r="A27" s="146">
        <f t="shared" si="0"/>
        <v>246.74835061262959</v>
      </c>
      <c r="B27" s="298">
        <v>352.49764373232802</v>
      </c>
      <c r="C27" s="13">
        <v>500</v>
      </c>
      <c r="D27" s="8">
        <v>0</v>
      </c>
      <c r="E27" s="10">
        <v>1840.7163053722904</v>
      </c>
      <c r="F27" s="15">
        <v>181.9038642789821</v>
      </c>
      <c r="G27" s="568">
        <v>500</v>
      </c>
      <c r="H27" s="569"/>
      <c r="I27" s="8">
        <v>0</v>
      </c>
      <c r="J27" s="10">
        <v>1923.6569274269559</v>
      </c>
      <c r="K27" s="15">
        <v>216.7766258246937</v>
      </c>
      <c r="L27" s="411">
        <f t="shared" si="1"/>
        <v>471.25353440150803</v>
      </c>
      <c r="M27" s="13">
        <v>500</v>
      </c>
      <c r="N27" s="8">
        <v>0</v>
      </c>
      <c r="O27" s="10">
        <v>1954.7596606974553</v>
      </c>
      <c r="P27" s="8"/>
      <c r="Q27" s="924"/>
    </row>
    <row r="28" spans="1:17" ht="18.2" customHeight="1">
      <c r="A28" s="146">
        <f t="shared" si="0"/>
        <v>285.67389255419414</v>
      </c>
      <c r="B28" s="298">
        <v>408.10556079170595</v>
      </c>
      <c r="C28" s="13">
        <v>550</v>
      </c>
      <c r="D28" s="8">
        <v>0</v>
      </c>
      <c r="E28" s="10">
        <v>1942.5070688030162</v>
      </c>
      <c r="F28" s="15">
        <v>181.9038642789821</v>
      </c>
      <c r="G28" s="568">
        <v>550</v>
      </c>
      <c r="H28" s="569"/>
      <c r="I28" s="8">
        <v>0</v>
      </c>
      <c r="J28" s="10">
        <v>2040.5278039585298</v>
      </c>
      <c r="K28" s="15">
        <v>216.7766258246937</v>
      </c>
      <c r="L28" s="411">
        <f t="shared" si="1"/>
        <v>518.37888784165887</v>
      </c>
      <c r="M28" s="13">
        <v>550</v>
      </c>
      <c r="N28" s="8">
        <v>0</v>
      </c>
      <c r="O28" s="10">
        <v>2070.6880301602264</v>
      </c>
      <c r="P28" s="8"/>
      <c r="Q28" s="924"/>
    </row>
    <row r="29" spans="1:17" ht="18.2" customHeight="1">
      <c r="A29" s="146">
        <f t="shared" si="0"/>
        <v>285.67389255419414</v>
      </c>
      <c r="B29" s="298">
        <v>408.10556079170595</v>
      </c>
      <c r="C29" s="13">
        <v>600</v>
      </c>
      <c r="D29" s="8">
        <v>0</v>
      </c>
      <c r="E29" s="10">
        <v>2016.0226201696514</v>
      </c>
      <c r="F29" s="15">
        <v>211.1215834118756</v>
      </c>
      <c r="G29" s="568">
        <v>600</v>
      </c>
      <c r="H29" s="569"/>
      <c r="I29" s="8">
        <v>0</v>
      </c>
      <c r="J29" s="10">
        <v>2117.8133836003772</v>
      </c>
      <c r="K29" s="15">
        <v>255.41941564561736</v>
      </c>
      <c r="L29" s="411">
        <f t="shared" si="1"/>
        <v>565.50424128180964</v>
      </c>
      <c r="M29" s="13">
        <v>600</v>
      </c>
      <c r="N29" s="8">
        <v>0</v>
      </c>
      <c r="O29" s="10">
        <v>2147.0311027332705</v>
      </c>
      <c r="P29" s="8"/>
    </row>
    <row r="30" spans="1:17" ht="18.2" customHeight="1">
      <c r="A30" s="146">
        <f t="shared" si="0"/>
        <v>319.32139491046183</v>
      </c>
      <c r="B30" s="298">
        <v>456.17342130065975</v>
      </c>
      <c r="C30" s="13">
        <v>650</v>
      </c>
      <c r="D30" s="8">
        <v>0</v>
      </c>
      <c r="E30" s="10">
        <v>2119.6983977379832</v>
      </c>
      <c r="F30" s="15">
        <v>211.1215834118756</v>
      </c>
      <c r="G30" s="568">
        <v>650</v>
      </c>
      <c r="H30" s="569"/>
      <c r="I30" s="8">
        <v>0</v>
      </c>
      <c r="J30" s="10">
        <v>2229.9717247879362</v>
      </c>
      <c r="K30" s="15">
        <v>255.41941564561736</v>
      </c>
      <c r="L30" s="411">
        <f t="shared" si="1"/>
        <v>612.62959472196042</v>
      </c>
      <c r="M30" s="13">
        <v>650</v>
      </c>
      <c r="N30" s="8">
        <v>0</v>
      </c>
      <c r="O30" s="10">
        <v>2271.4420358152688</v>
      </c>
      <c r="P30" s="8"/>
    </row>
    <row r="31" spans="1:17" ht="18.2" customHeight="1">
      <c r="A31" s="146">
        <f t="shared" si="0"/>
        <v>319.32139491046183</v>
      </c>
      <c r="B31" s="298">
        <v>456.17342130065975</v>
      </c>
      <c r="C31" s="13">
        <v>700</v>
      </c>
      <c r="D31" s="8">
        <v>0</v>
      </c>
      <c r="E31" s="10">
        <v>2193.2139491046182</v>
      </c>
      <c r="F31" s="15">
        <v>211.1215834118756</v>
      </c>
      <c r="G31" s="568">
        <v>700</v>
      </c>
      <c r="H31" s="569"/>
      <c r="I31" s="8">
        <v>0</v>
      </c>
      <c r="J31" s="10">
        <v>2306.3147973609803</v>
      </c>
      <c r="K31" s="15">
        <v>255.41941564561736</v>
      </c>
      <c r="L31" s="411">
        <f t="shared" si="1"/>
        <v>659.7549481621113</v>
      </c>
      <c r="M31" s="13">
        <v>700</v>
      </c>
      <c r="N31" s="8">
        <v>0</v>
      </c>
      <c r="O31" s="10">
        <v>2344.9575871819038</v>
      </c>
      <c r="P31" s="8"/>
    </row>
    <row r="32" spans="1:17" ht="18.2" customHeight="1">
      <c r="A32" s="146">
        <f t="shared" si="0"/>
        <v>354.2</v>
      </c>
      <c r="B32" s="298">
        <v>506</v>
      </c>
      <c r="C32" s="13">
        <v>750</v>
      </c>
      <c r="D32" s="8">
        <v>0</v>
      </c>
      <c r="E32" s="10">
        <v>2295.947219604147</v>
      </c>
      <c r="F32" s="15">
        <v>247.87935909519322</v>
      </c>
      <c r="G32" s="568">
        <v>750</v>
      </c>
      <c r="H32" s="569"/>
      <c r="I32" s="8">
        <v>0</v>
      </c>
      <c r="J32" s="10">
        <v>2428.8407163053726</v>
      </c>
      <c r="K32" s="15">
        <v>296.88972667295008</v>
      </c>
      <c r="L32" s="411">
        <f t="shared" si="1"/>
        <v>706.88030160226208</v>
      </c>
      <c r="M32" s="13">
        <v>750</v>
      </c>
      <c r="N32" s="8">
        <v>0</v>
      </c>
      <c r="O32" s="10">
        <v>2460.8859566446749</v>
      </c>
      <c r="P32" s="8"/>
    </row>
    <row r="33" spans="1:16" ht="18" customHeight="1">
      <c r="A33" s="146">
        <f t="shared" si="0"/>
        <v>354.2</v>
      </c>
      <c r="B33" s="298">
        <v>506</v>
      </c>
      <c r="C33" s="13">
        <v>800</v>
      </c>
      <c r="D33" s="8">
        <v>0</v>
      </c>
      <c r="E33" s="10">
        <v>2367.5777568331764</v>
      </c>
      <c r="F33" s="15">
        <v>247.87935909519322</v>
      </c>
      <c r="G33" s="568">
        <v>800</v>
      </c>
      <c r="H33" s="569"/>
      <c r="I33" s="8">
        <v>0</v>
      </c>
      <c r="J33" s="10">
        <v>2504.2412818096136</v>
      </c>
      <c r="K33" s="15">
        <v>296.88972667295008</v>
      </c>
      <c r="L33" s="411">
        <f t="shared" si="1"/>
        <v>754.00565504241285</v>
      </c>
      <c r="M33" s="13">
        <v>800</v>
      </c>
      <c r="N33" s="8">
        <v>0</v>
      </c>
      <c r="O33" s="10">
        <v>2542.8840716305372</v>
      </c>
      <c r="P33" s="8"/>
    </row>
    <row r="34" spans="1:16" ht="22.35" customHeight="1">
      <c r="A34" s="897"/>
      <c r="B34" s="897"/>
      <c r="C34" s="922" t="s">
        <v>224</v>
      </c>
      <c r="D34" s="922"/>
      <c r="E34" s="922"/>
      <c r="F34" s="922"/>
      <c r="G34" s="922" t="s">
        <v>233</v>
      </c>
      <c r="H34" s="922"/>
      <c r="I34" s="922"/>
      <c r="J34" s="922"/>
      <c r="K34" s="922"/>
      <c r="L34" s="922"/>
      <c r="M34" s="923" t="s">
        <v>225</v>
      </c>
      <c r="N34" s="923"/>
      <c r="O34" s="923"/>
      <c r="P34" s="923"/>
    </row>
  </sheetData>
  <mergeCells count="44">
    <mergeCell ref="Q11:Q28"/>
    <mergeCell ref="G5:H5"/>
    <mergeCell ref="G6:H6"/>
    <mergeCell ref="A1:Q1"/>
    <mergeCell ref="A2:P2"/>
    <mergeCell ref="A3:G3"/>
    <mergeCell ref="H3:K3"/>
    <mergeCell ref="L3:Q3"/>
    <mergeCell ref="A4:B4"/>
    <mergeCell ref="G4:H4"/>
    <mergeCell ref="K4:L4"/>
    <mergeCell ref="K6:L6"/>
    <mergeCell ref="K5:L5"/>
    <mergeCell ref="G8:H8"/>
    <mergeCell ref="G7:H7"/>
    <mergeCell ref="G10:H10"/>
    <mergeCell ref="G33:H33"/>
    <mergeCell ref="A34:B34"/>
    <mergeCell ref="C34:F34"/>
    <mergeCell ref="G34:L34"/>
    <mergeCell ref="M34:P34"/>
    <mergeCell ref="G9:H9"/>
    <mergeCell ref="G12:H12"/>
    <mergeCell ref="G11:H11"/>
    <mergeCell ref="G14:H14"/>
    <mergeCell ref="G13:H13"/>
    <mergeCell ref="G16:H16"/>
    <mergeCell ref="G15:H15"/>
    <mergeCell ref="G18:H18"/>
    <mergeCell ref="G17:H17"/>
    <mergeCell ref="G20:H20"/>
    <mergeCell ref="G19:H19"/>
    <mergeCell ref="G22:H22"/>
    <mergeCell ref="G21:H21"/>
    <mergeCell ref="G24:H24"/>
    <mergeCell ref="G23:H23"/>
    <mergeCell ref="G32:H32"/>
    <mergeCell ref="G31:H31"/>
    <mergeCell ref="G26:H26"/>
    <mergeCell ref="G25:H25"/>
    <mergeCell ref="G28:H28"/>
    <mergeCell ref="G27:H27"/>
    <mergeCell ref="G30:H30"/>
    <mergeCell ref="G29:H2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Blad39">
    <tabColor theme="6" tint="-0.499984740745262"/>
    <pageSetUpPr fitToPage="1"/>
  </sheetPr>
  <dimension ref="A1:R39"/>
  <sheetViews>
    <sheetView workbookViewId="0">
      <selection sqref="A1:O1"/>
    </sheetView>
  </sheetViews>
  <sheetFormatPr defaultRowHeight="12.75"/>
  <cols>
    <col min="1" max="1" width="7.1640625" customWidth="1"/>
    <col min="2" max="2" width="6" customWidth="1"/>
    <col min="3" max="3" width="10" customWidth="1"/>
    <col min="4" max="4" width="11.83203125" customWidth="1"/>
    <col min="5" max="5" width="7.83203125" customWidth="1"/>
    <col min="6" max="6" width="11.6640625" customWidth="1"/>
    <col min="7" max="7" width="8" customWidth="1"/>
    <col min="8" max="8" width="1.5" customWidth="1"/>
    <col min="9" max="9" width="11.83203125" customWidth="1"/>
    <col min="10" max="10" width="7.83203125" customWidth="1"/>
    <col min="11" max="11" width="6.6640625" customWidth="1"/>
    <col min="12" max="12" width="4.83203125" customWidth="1"/>
    <col min="13" max="13" width="8.83203125" customWidth="1"/>
    <col min="14" max="14" width="11.83203125" customWidth="1"/>
    <col min="15" max="15" width="7.83203125" customWidth="1"/>
    <col min="16" max="16" width="11" customWidth="1"/>
    <col min="17" max="17" width="14" customWidth="1"/>
  </cols>
  <sheetData>
    <row r="1" spans="1:16" ht="50.1" customHeight="1">
      <c r="A1" s="767" t="s">
        <v>369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</row>
    <row r="2" spans="1:16" ht="24" customHeight="1">
      <c r="A2" s="941" t="s">
        <v>279</v>
      </c>
      <c r="B2" s="941"/>
      <c r="C2" s="941"/>
      <c r="D2" s="941"/>
      <c r="E2" s="941"/>
      <c r="F2" s="941"/>
      <c r="G2" s="941"/>
      <c r="H2" s="941"/>
      <c r="I2" s="941"/>
      <c r="J2" s="941"/>
      <c r="K2" s="941"/>
      <c r="L2" s="941"/>
      <c r="M2" s="941"/>
      <c r="N2" s="941"/>
      <c r="O2" s="941"/>
      <c r="P2" s="941"/>
    </row>
    <row r="3" spans="1:16" ht="12.75" customHeight="1">
      <c r="B3" s="311"/>
      <c r="C3" s="916" t="s">
        <v>371</v>
      </c>
      <c r="D3" s="942"/>
      <c r="E3" s="942"/>
      <c r="F3" s="943"/>
      <c r="G3" s="906" t="s">
        <v>216</v>
      </c>
      <c r="H3" s="907"/>
      <c r="I3" s="907"/>
      <c r="J3" s="908"/>
      <c r="K3" s="906" t="s">
        <v>218</v>
      </c>
      <c r="L3" s="907"/>
      <c r="M3" s="907"/>
      <c r="N3" s="907"/>
      <c r="O3" s="907"/>
      <c r="P3" s="908"/>
    </row>
    <row r="4" spans="1:16">
      <c r="A4" s="311"/>
      <c r="B4" s="311"/>
      <c r="C4" s="944"/>
      <c r="D4" s="769"/>
      <c r="E4" s="769"/>
      <c r="F4" s="945"/>
      <c r="G4" s="913"/>
      <c r="H4" s="914"/>
      <c r="I4" s="914"/>
      <c r="J4" s="915"/>
      <c r="K4" s="913"/>
      <c r="L4" s="914"/>
      <c r="M4" s="914"/>
      <c r="N4" s="914"/>
      <c r="O4" s="914"/>
      <c r="P4" s="915"/>
    </row>
    <row r="5" spans="1:16">
      <c r="A5" s="401"/>
      <c r="B5" s="401"/>
      <c r="C5" s="946"/>
      <c r="D5" s="947"/>
      <c r="E5" s="947"/>
      <c r="F5" s="948"/>
      <c r="G5" s="909"/>
      <c r="H5" s="910"/>
      <c r="I5" s="910"/>
      <c r="J5" s="911"/>
      <c r="K5" s="909"/>
      <c r="L5" s="910"/>
      <c r="M5" s="910"/>
      <c r="N5" s="910"/>
      <c r="O5" s="910"/>
      <c r="P5" s="911"/>
    </row>
    <row r="6" spans="1:16" ht="18.2" customHeight="1">
      <c r="A6" s="902" t="s">
        <v>142</v>
      </c>
      <c r="B6" s="931"/>
      <c r="C6" s="402" t="s">
        <v>130</v>
      </c>
      <c r="D6" s="403"/>
      <c r="E6" s="402" t="s">
        <v>220</v>
      </c>
      <c r="F6" s="403" t="s">
        <v>221</v>
      </c>
      <c r="G6" s="937" t="s">
        <v>130</v>
      </c>
      <c r="H6" s="938"/>
      <c r="I6" s="403"/>
      <c r="J6" s="402" t="s">
        <v>220</v>
      </c>
      <c r="K6" s="939" t="s">
        <v>221</v>
      </c>
      <c r="L6" s="940"/>
      <c r="M6" s="402" t="s">
        <v>130</v>
      </c>
      <c r="N6" s="403"/>
      <c r="O6" s="402" t="s">
        <v>220</v>
      </c>
      <c r="P6" s="457" t="s">
        <v>221</v>
      </c>
    </row>
    <row r="7" spans="1:16" ht="29.1" customHeight="1">
      <c r="A7" s="144" t="s">
        <v>143</v>
      </c>
      <c r="B7" s="296" t="s">
        <v>144</v>
      </c>
      <c r="C7" s="105" t="s">
        <v>133</v>
      </c>
      <c r="D7" s="101"/>
      <c r="E7" s="105" t="s">
        <v>232</v>
      </c>
      <c r="F7" s="410" t="s">
        <v>273</v>
      </c>
      <c r="G7" s="756" t="s">
        <v>133</v>
      </c>
      <c r="H7" s="757"/>
      <c r="I7" s="101"/>
      <c r="J7" s="105" t="s">
        <v>232</v>
      </c>
      <c r="K7" s="654" t="s">
        <v>273</v>
      </c>
      <c r="L7" s="655"/>
      <c r="M7" s="105" t="s">
        <v>133</v>
      </c>
      <c r="N7" s="101"/>
      <c r="O7" s="105" t="s">
        <v>232</v>
      </c>
      <c r="P7" s="410" t="s">
        <v>273</v>
      </c>
    </row>
    <row r="8" spans="1:16" ht="18.2" customHeight="1">
      <c r="A8" s="145"/>
      <c r="B8" s="297"/>
      <c r="C8" s="18"/>
      <c r="D8" s="8"/>
      <c r="E8" s="18"/>
      <c r="F8" s="8"/>
      <c r="G8" s="584"/>
      <c r="H8" s="585"/>
      <c r="I8" s="8"/>
      <c r="J8" s="18"/>
      <c r="K8" s="654" t="s">
        <v>345</v>
      </c>
      <c r="L8" s="655"/>
      <c r="M8" s="18"/>
      <c r="N8" s="8"/>
      <c r="O8" s="18"/>
      <c r="P8" s="322"/>
    </row>
    <row r="9" spans="1:16" ht="18.2" customHeight="1">
      <c r="A9" s="146">
        <f>(('Sunproject (2)'!A7/(1+Korting!$B$3)*(1-Korting!$B$2)*Prijsmutaties!$K$9))</f>
        <v>67.392099669421469</v>
      </c>
      <c r="B9" s="146">
        <f>(('Sunproject (2)'!B7/(1+Korting!$B$3)*(1-Korting!$B$2)*Prijsmutaties!$K$9))</f>
        <v>96.274428099173534</v>
      </c>
      <c r="C9" s="13">
        <v>80</v>
      </c>
      <c r="D9" s="15"/>
      <c r="E9" s="10">
        <f>(('Sunproject (2)'!E7/(1+Korting!$B$3)*(1-Korting!$B$2)*Prijsmutaties!$C$9))</f>
        <v>760.67336345206604</v>
      </c>
      <c r="F9" s="15">
        <f>(('Sunproject (2)'!F7/(1+Korting!$B$3)*(1-Korting!$B$2)*Prijsmutaties!$C$9))</f>
        <v>44.800394411900825</v>
      </c>
      <c r="G9" s="194">
        <v>80</v>
      </c>
      <c r="H9" s="9"/>
      <c r="I9" s="15"/>
      <c r="J9" s="10">
        <f>(('Sunproject (2)'!J7/(1+Korting!$B$3)*(1-Korting!$B$2)*Prijsmutaties!$C$9))</f>
        <v>784.94024375851234</v>
      </c>
      <c r="K9" s="15">
        <f>(('Sunproject (2)'!K7/(1+Korting!$B$3)*(1-Korting!$B$2)*Prijsmutaties!$C$9))</f>
        <v>48.533760612892557</v>
      </c>
      <c r="L9" s="949" t="s">
        <v>344</v>
      </c>
      <c r="M9" s="13">
        <v>80</v>
      </c>
      <c r="N9" s="15"/>
      <c r="O9" s="10">
        <f>(('Sunproject (2)'!O7/(1+Korting!$B$3)*(1-Korting!$B$2)*Prijsmutaties!$C$9))</f>
        <v>797.07368391173543</v>
      </c>
      <c r="P9" s="949" t="s">
        <v>343</v>
      </c>
    </row>
    <row r="10" spans="1:16" ht="18.2" customHeight="1">
      <c r="A10" s="146">
        <f>(('Sunproject (2)'!A8/(1+Korting!$B$3)*(1-Korting!$B$2)*Prijsmutaties!$K$9))</f>
        <v>67.392099669421469</v>
      </c>
      <c r="B10" s="146">
        <f>(('Sunproject (2)'!B8/(1+Korting!$B$3)*(1-Korting!$B$2)*Prijsmutaties!$K$9))</f>
        <v>96.274428099173534</v>
      </c>
      <c r="C10" s="13">
        <v>100</v>
      </c>
      <c r="D10" s="15"/>
      <c r="E10" s="10">
        <f>(('Sunproject (2)'!E8/(1+Korting!$B$3)*(1-Korting!$B$2)*Prijsmutaties!$C$9))</f>
        <v>797.07368391173543</v>
      </c>
      <c r="F10" s="15">
        <f>(('Sunproject (2)'!F8/(1+Korting!$B$3)*(1-Korting!$B$2)*Prijsmutaties!$C$9))</f>
        <v>44.800394411900825</v>
      </c>
      <c r="G10" s="194">
        <v>100</v>
      </c>
      <c r="H10" s="9"/>
      <c r="I10" s="15"/>
      <c r="J10" s="10">
        <f>(('Sunproject (2)'!J8/(1+Korting!$B$3)*(1-Korting!$B$2)*Prijsmutaties!$C$9))</f>
        <v>817.60719801719006</v>
      </c>
      <c r="K10" s="15">
        <f>(('Sunproject (2)'!K8/(1+Korting!$B$3)*(1-Korting!$B$2)*Prijsmutaties!$C$9))</f>
        <v>48.533760612892557</v>
      </c>
      <c r="L10" s="949"/>
      <c r="M10" s="13">
        <v>100</v>
      </c>
      <c r="N10" s="15"/>
      <c r="O10" s="10">
        <f>(('Sunproject (2)'!O8/(1+Korting!$B$3)*(1-Korting!$B$2)*Prijsmutaties!$C$9))</f>
        <v>827.87395506991743</v>
      </c>
      <c r="P10" s="949"/>
    </row>
    <row r="11" spans="1:16" ht="18.2" customHeight="1">
      <c r="A11" s="146">
        <f>(('Sunproject (2)'!A9/(1+Korting!$B$3)*(1-Korting!$B$2)*Prijsmutaties!$K$9))</f>
        <v>81.963364462809906</v>
      </c>
      <c r="B11" s="146">
        <f>(('Sunproject (2)'!B9/(1+Korting!$B$3)*(1-Korting!$B$2)*Prijsmutaties!$K$9))</f>
        <v>117.09052066115702</v>
      </c>
      <c r="C11" s="13">
        <v>120</v>
      </c>
      <c r="D11" s="15"/>
      <c r="E11" s="10">
        <f>(('Sunproject (2)'!E9/(1+Korting!$B$3)*(1-Korting!$B$2)*Prijsmutaties!$C$9))</f>
        <v>823.20724731867767</v>
      </c>
      <c r="F11" s="15">
        <f>(('Sunproject (2)'!F9/(1+Korting!$B$3)*(1-Korting!$B$2)*Prijsmutaties!$C$9))</f>
        <v>79.334031771074379</v>
      </c>
      <c r="G11" s="194">
        <v>120</v>
      </c>
      <c r="H11" s="9"/>
      <c r="I11" s="15"/>
      <c r="J11" s="10">
        <f>(('Sunproject (2)'!J9/(1+Korting!$B$3)*(1-Korting!$B$2)*Prijsmutaties!$C$9))</f>
        <v>849.3408107256198</v>
      </c>
      <c r="K11" s="15">
        <f>(('Sunproject (2)'!K9/(1+Korting!$B$3)*(1-Korting!$B$2)*Prijsmutaties!$C$9))</f>
        <v>93.334155024793375</v>
      </c>
      <c r="L11" s="949"/>
      <c r="M11" s="13">
        <v>120</v>
      </c>
      <c r="N11" s="15"/>
      <c r="O11" s="10">
        <f>(('Sunproject (2)'!O9/(1+Korting!$B$3)*(1-Korting!$B$2)*Prijsmutaties!$C$9))</f>
        <v>864.27427552958682</v>
      </c>
      <c r="P11" s="949"/>
    </row>
    <row r="12" spans="1:16" ht="18.2" customHeight="1">
      <c r="A12" s="146">
        <f>(('Sunproject (2)'!A10/(1+Korting!$B$3)*(1-Korting!$B$2)*Prijsmutaties!$K$9))</f>
        <v>81.963364462809906</v>
      </c>
      <c r="B12" s="146">
        <f>(('Sunproject (2)'!B10/(1+Korting!$B$3)*(1-Korting!$B$2)*Prijsmutaties!$K$9))</f>
        <v>117.09052066115702</v>
      </c>
      <c r="C12" s="13">
        <v>140</v>
      </c>
      <c r="D12" s="15"/>
      <c r="E12" s="10">
        <f>(('Sunproject (2)'!E10/(1+Korting!$B$3)*(1-Korting!$B$2)*Prijsmutaties!$C$9))</f>
        <v>855.87420157735528</v>
      </c>
      <c r="F12" s="15">
        <f>(('Sunproject (2)'!F10/(1+Korting!$B$3)*(1-Korting!$B$2)*Prijsmutaties!$C$9))</f>
        <v>79.334031771074379</v>
      </c>
      <c r="G12" s="194">
        <v>140</v>
      </c>
      <c r="H12" s="9"/>
      <c r="I12" s="15"/>
      <c r="J12" s="10">
        <f>(('Sunproject (2)'!J10/(1+Korting!$B$3)*(1-Korting!$B$2)*Prijsmutaties!$C$9))</f>
        <v>888.54115583603311</v>
      </c>
      <c r="K12" s="15">
        <f>(('Sunproject (2)'!K10/(1+Korting!$B$3)*(1-Korting!$B$2)*Prijsmutaties!$C$9))</f>
        <v>93.334155024793375</v>
      </c>
      <c r="L12" s="949"/>
      <c r="M12" s="13">
        <v>140</v>
      </c>
      <c r="N12" s="15"/>
      <c r="O12" s="10">
        <f>(('Sunproject (2)'!O10/(1+Korting!$B$3)*(1-Korting!$B$2)*Prijsmutaties!$C$9))</f>
        <v>896.00788823801645</v>
      </c>
      <c r="P12" s="949"/>
    </row>
    <row r="13" spans="1:16" ht="18.2" customHeight="1">
      <c r="A13" s="146">
        <f>(('Sunproject (2)'!A11/(1+Korting!$B$3)*(1-Korting!$B$2)*Prijsmutaties!$K$9))</f>
        <v>100.78458148760329</v>
      </c>
      <c r="B13" s="146">
        <f>(('Sunproject (2)'!B11/(1+Korting!$B$3)*(1-Korting!$B$2)*Prijsmutaties!$K$9))</f>
        <v>143.97797355371898</v>
      </c>
      <c r="C13" s="13">
        <v>160</v>
      </c>
      <c r="D13" s="15"/>
      <c r="E13" s="10">
        <f>(('Sunproject (2)'!E11/(1+Korting!$B$3)*(1-Korting!$B$2)*Prijsmutaties!$C$9))</f>
        <v>890.40783893652872</v>
      </c>
      <c r="F13" s="15">
        <f>(('Sunproject (2)'!F11/(1+Korting!$B$3)*(1-Korting!$B$2)*Prijsmutaties!$C$9))</f>
        <v>79.334031771074379</v>
      </c>
      <c r="G13" s="194">
        <v>160</v>
      </c>
      <c r="H13" s="9"/>
      <c r="I13" s="15"/>
      <c r="J13" s="10">
        <f>(('Sunproject (2)'!J11/(1+Korting!$B$3)*(1-Korting!$B$2)*Prijsmutaties!$C$9))</f>
        <v>918.40808544396691</v>
      </c>
      <c r="K13" s="15">
        <f>(('Sunproject (2)'!K11/(1+Korting!$B$3)*(1-Korting!$B$2)*Prijsmutaties!$C$9))</f>
        <v>93.334155024793375</v>
      </c>
      <c r="L13" s="949"/>
      <c r="M13" s="13">
        <v>160</v>
      </c>
      <c r="N13" s="15"/>
      <c r="O13" s="10">
        <f>(('Sunproject (2)'!O11/(1+Korting!$B$3)*(1-Korting!$B$2)*Prijsmutaties!$C$9))</f>
        <v>930.54152559719</v>
      </c>
      <c r="P13" s="949"/>
    </row>
    <row r="14" spans="1:16" ht="18.2" customHeight="1">
      <c r="A14" s="146">
        <f>(('Sunproject (2)'!A12/(1+Korting!$B$3)*(1-Korting!$B$2)*Prijsmutaties!$K$9))</f>
        <v>100.78458148760329</v>
      </c>
      <c r="B14" s="146">
        <f>(('Sunproject (2)'!B12/(1+Korting!$B$3)*(1-Korting!$B$2)*Prijsmutaties!$K$9))</f>
        <v>143.97797355371898</v>
      </c>
      <c r="C14" s="13">
        <v>180</v>
      </c>
      <c r="D14" s="15"/>
      <c r="E14" s="10">
        <f>(('Sunproject (2)'!E12/(1+Korting!$B$3)*(1-Korting!$B$2)*Prijsmutaties!$C$9))</f>
        <v>918.40808544396691</v>
      </c>
      <c r="F14" s="15">
        <f>(('Sunproject (2)'!F12/(1+Korting!$B$3)*(1-Korting!$B$2)*Prijsmutaties!$C$9))</f>
        <v>79.334031771074379</v>
      </c>
      <c r="G14" s="194">
        <v>180</v>
      </c>
      <c r="H14" s="9"/>
      <c r="I14" s="15"/>
      <c r="J14" s="10">
        <f>(('Sunproject (2)'!J12/(1+Korting!$B$3)*(1-Korting!$B$2)*Prijsmutaties!$C$9))</f>
        <v>956.67508900413202</v>
      </c>
      <c r="K14" s="15">
        <f>(('Sunproject (2)'!K12/(1+Korting!$B$3)*(1-Korting!$B$2)*Prijsmutaties!$C$9))</f>
        <v>93.334155024793375</v>
      </c>
      <c r="L14" s="949"/>
      <c r="M14" s="13">
        <v>180</v>
      </c>
      <c r="N14" s="15"/>
      <c r="O14" s="10">
        <f>(('Sunproject (2)'!O12/(1+Korting!$B$3)*(1-Korting!$B$2)*Prijsmutaties!$C$9))</f>
        <v>968.80852915735534</v>
      </c>
      <c r="P14" s="949"/>
    </row>
    <row r="15" spans="1:16" ht="18.2" customHeight="1">
      <c r="A15" s="146">
        <f>(('Sunproject (2)'!A13/(1+Korting!$B$3)*(1-Korting!$B$2)*Prijsmutaties!$K$9))</f>
        <v>100.78458148760329</v>
      </c>
      <c r="B15" s="146">
        <f>(('Sunproject (2)'!B13/(1+Korting!$B$3)*(1-Korting!$B$2)*Prijsmutaties!$K$9))</f>
        <v>143.97797355371898</v>
      </c>
      <c r="C15" s="13">
        <v>200</v>
      </c>
      <c r="D15" s="15"/>
      <c r="E15" s="10">
        <f>(('Sunproject (2)'!E13/(1+Korting!$B$3)*(1-Korting!$B$2)*Prijsmutaties!$C$9))</f>
        <v>954.80840590363619</v>
      </c>
      <c r="F15" s="15">
        <f>(('Sunproject (2)'!F13/(1+Korting!$B$3)*(1-Korting!$B$2)*Prijsmutaties!$C$9))</f>
        <v>79.334031771074379</v>
      </c>
      <c r="G15" s="194">
        <v>200</v>
      </c>
      <c r="H15" s="9"/>
      <c r="I15" s="15"/>
      <c r="J15" s="10">
        <f>(('Sunproject (2)'!J13/(1+Korting!$B$3)*(1-Korting!$B$2)*Prijsmutaties!$C$9))</f>
        <v>987.47536016231402</v>
      </c>
      <c r="K15" s="15">
        <f>(('Sunproject (2)'!K13/(1+Korting!$B$3)*(1-Korting!$B$2)*Prijsmutaties!$C$9))</f>
        <v>93.334155024793375</v>
      </c>
      <c r="L15" s="949"/>
      <c r="M15" s="13">
        <v>200</v>
      </c>
      <c r="N15" s="15"/>
      <c r="O15" s="10">
        <f>(('Sunproject (2)'!O13/(1+Korting!$B$3)*(1-Korting!$B$2)*Prijsmutaties!$C$9))</f>
        <v>1007.0755327175207</v>
      </c>
      <c r="P15" s="949"/>
    </row>
    <row r="16" spans="1:16" ht="18.2" customHeight="1">
      <c r="A16" s="146">
        <f>(('Sunproject (2)'!A14/(1+Korting!$B$3)*(1-Korting!$B$2)*Prijsmutaties!$K$9))</f>
        <v>115.35584628099173</v>
      </c>
      <c r="B16" s="146">
        <f>(('Sunproject (2)'!B14/(1+Korting!$B$3)*(1-Korting!$B$2)*Prijsmutaties!$K$9))</f>
        <v>164.79406611570246</v>
      </c>
      <c r="C16" s="13">
        <v>220</v>
      </c>
      <c r="D16" s="15"/>
      <c r="E16" s="10">
        <f>(('Sunproject (2)'!E14/(1+Korting!$B$3)*(1-Korting!$B$2)*Prijsmutaties!$C$9))</f>
        <v>982.80865241107438</v>
      </c>
      <c r="F16" s="15">
        <f>(('Sunproject (2)'!F14/(1+Korting!$B$3)*(1-Korting!$B$2)*Prijsmutaties!$C$9))</f>
        <v>79.334031771074379</v>
      </c>
      <c r="G16" s="194">
        <v>220</v>
      </c>
      <c r="H16" s="9"/>
      <c r="I16" s="15"/>
      <c r="J16" s="10">
        <f>(('Sunproject (2)'!J14/(1+Korting!$B$3)*(1-Korting!$B$2)*Prijsmutaties!$C$9))</f>
        <v>1022.0089975214875</v>
      </c>
      <c r="K16" s="15">
        <f>(('Sunproject (2)'!K14/(1+Korting!$B$3)*(1-Korting!$B$2)*Prijsmutaties!$C$9))</f>
        <v>93.334155024793375</v>
      </c>
      <c r="L16" s="949"/>
      <c r="M16" s="13">
        <v>220</v>
      </c>
      <c r="N16" s="15"/>
      <c r="O16" s="10">
        <f>(('Sunproject (2)'!O14/(1+Korting!$B$3)*(1-Korting!$B$2)*Prijsmutaties!$C$9))</f>
        <v>1037.8758038757023</v>
      </c>
      <c r="P16" s="949"/>
    </row>
    <row r="17" spans="1:18" ht="18.2" customHeight="1">
      <c r="A17" s="146">
        <f>(('Sunproject (2)'!A15/(1+Korting!$B$3)*(1-Korting!$B$2)*Prijsmutaties!$K$9))</f>
        <v>115.35584628099173</v>
      </c>
      <c r="B17" s="146">
        <f>(('Sunproject (2)'!B15/(1+Korting!$B$3)*(1-Korting!$B$2)*Prijsmutaties!$K$9))</f>
        <v>164.79406611570246</v>
      </c>
      <c r="C17" s="13">
        <v>240</v>
      </c>
      <c r="D17" s="15"/>
      <c r="E17" s="10">
        <f>(('Sunproject (2)'!E15/(1+Korting!$B$3)*(1-Korting!$B$2)*Prijsmutaties!$C$9))</f>
        <v>1013.6089235692561</v>
      </c>
      <c r="F17" s="15">
        <f>(('Sunproject (2)'!F15/(1+Korting!$B$3)*(1-Korting!$B$2)*Prijsmutaties!$C$9))</f>
        <v>115.7343522307438</v>
      </c>
      <c r="G17" s="194">
        <v>240</v>
      </c>
      <c r="H17" s="9"/>
      <c r="I17" s="15"/>
      <c r="J17" s="10">
        <f>(('Sunproject (2)'!J15/(1+Korting!$B$3)*(1-Korting!$B$2)*Prijsmutaties!$C$9))</f>
        <v>1055.6092933304133</v>
      </c>
      <c r="K17" s="15">
        <f>(('Sunproject (2)'!K15/(1+Korting!$B$3)*(1-Korting!$B$2)*Prijsmutaties!$C$9))</f>
        <v>129.73447548446279</v>
      </c>
      <c r="L17" s="949"/>
      <c r="M17" s="13">
        <v>240</v>
      </c>
      <c r="N17" s="15"/>
      <c r="O17" s="10">
        <f>(('Sunproject (2)'!O15/(1+Korting!$B$3)*(1-Korting!$B$2)*Prijsmutaties!$C$9))</f>
        <v>1074.2761243353718</v>
      </c>
      <c r="P17" s="949"/>
    </row>
    <row r="18" spans="1:18" ht="18.2" customHeight="1">
      <c r="A18" s="146">
        <f>(('Sunproject (2)'!A16/(1+Korting!$B$3)*(1-Korting!$B$2)*Prijsmutaties!$K$9))</f>
        <v>135.39133537190079</v>
      </c>
      <c r="B18" s="146">
        <f>(('Sunproject (2)'!B16/(1+Korting!$B$3)*(1-Korting!$B$2)*Prijsmutaties!$K$9))</f>
        <v>193.41619338842975</v>
      </c>
      <c r="C18" s="13">
        <v>260</v>
      </c>
      <c r="D18" s="15"/>
      <c r="E18" s="10">
        <f>(('Sunproject (2)'!E16/(1+Korting!$B$3)*(1-Korting!$B$2)*Prijsmutaties!$C$9))</f>
        <v>1046.2758778279338</v>
      </c>
      <c r="F18" s="15">
        <f>(('Sunproject (2)'!F16/(1+Korting!$B$3)*(1-Korting!$B$2)*Prijsmutaties!$C$9))</f>
        <v>115.7343522307438</v>
      </c>
      <c r="G18" s="194">
        <v>260</v>
      </c>
      <c r="H18" s="9"/>
      <c r="I18" s="15"/>
      <c r="J18" s="10">
        <f>(('Sunproject (2)'!J16/(1+Korting!$B$3)*(1-Korting!$B$2)*Prijsmutaties!$C$9))</f>
        <v>1086.4095644885949</v>
      </c>
      <c r="K18" s="15">
        <f>(('Sunproject (2)'!K16/(1+Korting!$B$3)*(1-Korting!$B$2)*Prijsmutaties!$C$9))</f>
        <v>129.73447548446279</v>
      </c>
      <c r="L18" s="949"/>
      <c r="M18" s="13">
        <v>260</v>
      </c>
      <c r="N18" s="15"/>
      <c r="O18" s="10">
        <f>(('Sunproject (2)'!O16/(1+Korting!$B$3)*(1-Korting!$B$2)*Prijsmutaties!$C$9))</f>
        <v>1110.6764447950411</v>
      </c>
      <c r="P18" s="949"/>
    </row>
    <row r="19" spans="1:18" ht="18.2" customHeight="1">
      <c r="A19" s="146">
        <f>(('Sunproject (2)'!A17/(1+Korting!$B$3)*(1-Korting!$B$2)*Prijsmutaties!$K$9))</f>
        <v>135.39133537190079</v>
      </c>
      <c r="B19" s="146">
        <f>(('Sunproject (2)'!B17/(1+Korting!$B$3)*(1-Korting!$B$2)*Prijsmutaties!$K$9))</f>
        <v>193.41619338842975</v>
      </c>
      <c r="C19" s="13">
        <v>280</v>
      </c>
      <c r="D19" s="15"/>
      <c r="E19" s="10">
        <f>(('Sunproject (2)'!E17/(1+Korting!$B$3)*(1-Korting!$B$2)*Prijsmutaties!$C$9))</f>
        <v>1078.0094905363637</v>
      </c>
      <c r="F19" s="15">
        <f>(('Sunproject (2)'!F17/(1+Korting!$B$3)*(1-Korting!$B$2)*Prijsmutaties!$C$9))</f>
        <v>115.7343522307438</v>
      </c>
      <c r="G19" s="194">
        <v>280</v>
      </c>
      <c r="H19" s="9"/>
      <c r="I19" s="15"/>
      <c r="J19" s="10">
        <f>(('Sunproject (2)'!J17/(1+Korting!$B$3)*(1-Korting!$B$2)*Prijsmutaties!$C$9))</f>
        <v>1124.6765680487604</v>
      </c>
      <c r="K19" s="15">
        <f>(('Sunproject (2)'!K17/(1+Korting!$B$3)*(1-Korting!$B$2)*Prijsmutaties!$C$9))</f>
        <v>129.73447548446279</v>
      </c>
      <c r="L19" s="949"/>
      <c r="M19" s="13">
        <v>280</v>
      </c>
      <c r="N19" s="15"/>
      <c r="O19" s="10">
        <f>(('Sunproject (2)'!O17/(1+Korting!$B$3)*(1-Korting!$B$2)*Prijsmutaties!$C$9))</f>
        <v>1143.3433990537189</v>
      </c>
      <c r="P19" s="949"/>
    </row>
    <row r="20" spans="1:18" ht="18.2" customHeight="1">
      <c r="A20" s="146">
        <f>(('Sunproject (2)'!A18/(1+Korting!$B$3)*(1-Korting!$B$2)*Prijsmutaties!$K$9))</f>
        <v>135.39133537190079</v>
      </c>
      <c r="B20" s="146">
        <f>(('Sunproject (2)'!B18/(1+Korting!$B$3)*(1-Korting!$B$2)*Prijsmutaties!$K$9))</f>
        <v>193.41619338842975</v>
      </c>
      <c r="C20" s="13">
        <v>300</v>
      </c>
      <c r="D20" s="15"/>
      <c r="E20" s="10">
        <f>(('Sunproject (2)'!E18/(1+Korting!$B$3)*(1-Korting!$B$2)*Prijsmutaties!$C$9))</f>
        <v>1110.6764447950411</v>
      </c>
      <c r="F20" s="15">
        <f>(('Sunproject (2)'!F18/(1+Korting!$B$3)*(1-Korting!$B$2)*Prijsmutaties!$C$9))</f>
        <v>115.7343522307438</v>
      </c>
      <c r="G20" s="194">
        <v>300</v>
      </c>
      <c r="H20" s="9"/>
      <c r="I20" s="15"/>
      <c r="J20" s="10">
        <f>(('Sunproject (2)'!J18/(1+Korting!$B$3)*(1-Korting!$B$2)*Prijsmutaties!$C$9))</f>
        <v>1159.2102054079337</v>
      </c>
      <c r="K20" s="15">
        <f>(('Sunproject (2)'!K18/(1+Korting!$B$3)*(1-Korting!$B$2)*Prijsmutaties!$C$9))</f>
        <v>129.73447548446279</v>
      </c>
      <c r="L20" s="949"/>
      <c r="M20" s="13">
        <v>300</v>
      </c>
      <c r="N20" s="15"/>
      <c r="O20" s="10">
        <f>(('Sunproject (2)'!O18/(1+Korting!$B$3)*(1-Korting!$B$2)*Prijsmutaties!$C$9))</f>
        <v>1176.9436948626446</v>
      </c>
      <c r="P20" s="949"/>
    </row>
    <row r="21" spans="1:18" ht="18.2" customHeight="1">
      <c r="A21" s="146">
        <f>(('Sunproject (2)'!A19/(1+Korting!$B$3)*(1-Korting!$B$2)*Prijsmutaties!$K$9))</f>
        <v>150.56973619834707</v>
      </c>
      <c r="B21" s="146">
        <f>(('Sunproject (2)'!B19/(1+Korting!$B$3)*(1-Korting!$B$2)*Prijsmutaties!$K$9))</f>
        <v>215.09962314049585</v>
      </c>
      <c r="C21" s="13">
        <v>320</v>
      </c>
      <c r="D21" s="15"/>
      <c r="E21" s="10">
        <f>(('Sunproject (2)'!E19/(1+Korting!$B$3)*(1-Korting!$B$2)*Prijsmutaties!$C$9))</f>
        <v>1138.6766913024792</v>
      </c>
      <c r="F21" s="15">
        <f>(('Sunproject (2)'!F19/(1+Korting!$B$3)*(1-Korting!$B$2)*Prijsmutaties!$C$9))</f>
        <v>115.7343522307438</v>
      </c>
      <c r="G21" s="194">
        <v>320</v>
      </c>
      <c r="H21" s="9"/>
      <c r="I21" s="15"/>
      <c r="J21" s="10">
        <f>(('Sunproject (2)'!J19/(1+Korting!$B$3)*(1-Korting!$B$2)*Prijsmutaties!$C$9))</f>
        <v>1191.8771596666115</v>
      </c>
      <c r="K21" s="15">
        <f>(('Sunproject (2)'!K19/(1+Korting!$B$3)*(1-Korting!$B$2)*Prijsmutaties!$C$9))</f>
        <v>129.73447548446279</v>
      </c>
      <c r="L21" s="949"/>
      <c r="M21" s="13">
        <v>320</v>
      </c>
      <c r="N21" s="15"/>
      <c r="O21" s="10">
        <f>(('Sunproject (2)'!O19/(1+Korting!$B$3)*(1-Korting!$B$2)*Prijsmutaties!$C$9))</f>
        <v>1216.1440399730577</v>
      </c>
      <c r="P21" s="949"/>
    </row>
    <row r="22" spans="1:18" ht="18.2" customHeight="1">
      <c r="A22" s="146">
        <f>(('Sunproject (2)'!A20/(1+Korting!$B$3)*(1-Korting!$B$2)*Prijsmutaties!$K$9))</f>
        <v>150.56973619834707</v>
      </c>
      <c r="B22" s="146">
        <f>(('Sunproject (2)'!B20/(1+Korting!$B$3)*(1-Korting!$B$2)*Prijsmutaties!$K$9))</f>
        <v>215.09962314049585</v>
      </c>
      <c r="C22" s="13">
        <v>340</v>
      </c>
      <c r="D22" s="15"/>
      <c r="E22" s="10">
        <f>(('Sunproject (2)'!E20/(1+Korting!$B$3)*(1-Korting!$B$2)*Prijsmutaties!$C$9))</f>
        <v>1171.3436455611568</v>
      </c>
      <c r="F22" s="15">
        <f>(('Sunproject (2)'!F20/(1+Korting!$B$3)*(1-Korting!$B$2)*Prijsmutaties!$C$9))</f>
        <v>115.7343522307438</v>
      </c>
      <c r="G22" s="194">
        <v>340</v>
      </c>
      <c r="H22" s="9"/>
      <c r="I22" s="15"/>
      <c r="J22" s="10">
        <f>(('Sunproject (2)'!J20/(1+Korting!$B$3)*(1-Korting!$B$2)*Prijsmutaties!$C$9))</f>
        <v>1225.4774554755372</v>
      </c>
      <c r="K22" s="15">
        <f>(('Sunproject (2)'!K20/(1+Korting!$B$3)*(1-Korting!$B$2)*Prijsmutaties!$C$9))</f>
        <v>129.73447548446279</v>
      </c>
      <c r="L22" s="949"/>
      <c r="M22" s="13">
        <v>340</v>
      </c>
      <c r="N22" s="15"/>
      <c r="O22" s="10">
        <f>(('Sunproject (2)'!O20/(1+Korting!$B$3)*(1-Korting!$B$2)*Prijsmutaties!$C$9))</f>
        <v>1246.0109695809915</v>
      </c>
      <c r="P22" s="949"/>
    </row>
    <row r="23" spans="1:18" ht="18.2" customHeight="1">
      <c r="A23" s="146">
        <f>(('Sunproject (2)'!A21/(1+Korting!$B$3)*(1-Korting!$B$2)*Prijsmutaties!$K$9))</f>
        <v>166.35527305785121</v>
      </c>
      <c r="B23" s="146">
        <f>(('Sunproject (2)'!B21/(1+Korting!$B$3)*(1-Korting!$B$2)*Prijsmutaties!$K$9))</f>
        <v>237.65039008264461</v>
      </c>
      <c r="C23" s="13">
        <v>360</v>
      </c>
      <c r="D23" s="15"/>
      <c r="E23" s="10">
        <f>(('Sunproject (2)'!E21/(1+Korting!$B$3)*(1-Korting!$B$2)*Prijsmutaties!$C$9))</f>
        <v>1205.8772829203306</v>
      </c>
      <c r="F23" s="15">
        <f>(('Sunproject (2)'!F21/(1+Korting!$B$3)*(1-Korting!$B$2)*Prijsmutaties!$C$9))</f>
        <v>143.7345987381818</v>
      </c>
      <c r="G23" s="194">
        <v>360</v>
      </c>
      <c r="H23" s="9"/>
      <c r="I23" s="15"/>
      <c r="J23" s="10">
        <f>(('Sunproject (2)'!J21/(1+Korting!$B$3)*(1-Korting!$B$2)*Prijsmutaties!$C$9))</f>
        <v>1264.6778005859503</v>
      </c>
      <c r="K23" s="15">
        <f>(('Sunproject (2)'!K21/(1+Korting!$B$3)*(1-Korting!$B$2)*Prijsmutaties!$C$9))</f>
        <v>176.40155299685946</v>
      </c>
      <c r="L23" s="949"/>
      <c r="M23" s="13">
        <v>360</v>
      </c>
      <c r="N23" s="15"/>
      <c r="O23" s="10">
        <f>(('Sunproject (2)'!O21/(1+Korting!$B$3)*(1-Korting!$B$2)*Prijsmutaties!$C$9))</f>
        <v>1284.277973141157</v>
      </c>
      <c r="P23" s="949"/>
    </row>
    <row r="24" spans="1:18" ht="18.2" customHeight="1">
      <c r="A24" s="146">
        <f>(('Sunproject (2)'!A22/(1+Korting!$B$3)*(1-Korting!$B$2)*Prijsmutaties!$K$9))</f>
        <v>166.35527305785121</v>
      </c>
      <c r="B24" s="146">
        <f>(('Sunproject (2)'!B22/(1+Korting!$B$3)*(1-Korting!$B$2)*Prijsmutaties!$K$9))</f>
        <v>237.65039008264461</v>
      </c>
      <c r="C24" s="13">
        <v>380</v>
      </c>
      <c r="D24" s="15"/>
      <c r="E24" s="10">
        <f>(('Sunproject (2)'!E22/(1+Korting!$B$3)*(1-Korting!$B$2)*Prijsmutaties!$C$9))</f>
        <v>1233.8775294277684</v>
      </c>
      <c r="F24" s="15">
        <f>(('Sunproject (2)'!F22/(1+Korting!$B$3)*(1-Korting!$B$2)*Prijsmutaties!$C$9))</f>
        <v>143.7345987381818</v>
      </c>
      <c r="G24" s="194">
        <v>380</v>
      </c>
      <c r="H24" s="9"/>
      <c r="I24" s="15"/>
      <c r="J24" s="10">
        <f>(('Sunproject (2)'!J22/(1+Korting!$B$3)*(1-Korting!$B$2)*Prijsmutaties!$C$9))</f>
        <v>1292.6780470933884</v>
      </c>
      <c r="K24" s="15">
        <f>(('Sunproject (2)'!K22/(1+Korting!$B$3)*(1-Korting!$B$2)*Prijsmutaties!$C$9))</f>
        <v>176.40155299685946</v>
      </c>
      <c r="L24" s="949"/>
      <c r="M24" s="13">
        <v>380</v>
      </c>
      <c r="N24" s="15"/>
      <c r="O24" s="10">
        <f>(('Sunproject (2)'!O22/(1+Korting!$B$3)*(1-Korting!$B$2)*Prijsmutaties!$C$9))</f>
        <v>1318.8116105003303</v>
      </c>
      <c r="P24" s="949"/>
    </row>
    <row r="25" spans="1:18" ht="18.2" customHeight="1">
      <c r="A25" s="146">
        <f>(('Sunproject (2)'!A23/(1+Korting!$B$3)*(1-Korting!$B$2)*Prijsmutaties!$K$9))</f>
        <v>166.35527305785121</v>
      </c>
      <c r="B25" s="146">
        <f>(('Sunproject (2)'!B23/(1+Korting!$B$3)*(1-Korting!$B$2)*Prijsmutaties!$K$9))</f>
        <v>237.65039008264461</v>
      </c>
      <c r="C25" s="13">
        <v>400</v>
      </c>
      <c r="D25" s="15"/>
      <c r="E25" s="10">
        <f>(('Sunproject (2)'!E23/(1+Korting!$B$3)*(1-Korting!$B$2)*Prijsmutaties!$C$9))</f>
        <v>1266.544483686446</v>
      </c>
      <c r="F25" s="15">
        <f>(('Sunproject (2)'!F23/(1+Korting!$B$3)*(1-Korting!$B$2)*Prijsmutaties!$C$9))</f>
        <v>143.7345987381818</v>
      </c>
      <c r="G25" s="194">
        <v>400</v>
      </c>
      <c r="H25" s="9"/>
      <c r="I25" s="15"/>
      <c r="J25" s="10">
        <f>(('Sunproject (2)'!J23/(1+Korting!$B$3)*(1-Korting!$B$2)*Prijsmutaties!$C$9))</f>
        <v>1329.0783675530579</v>
      </c>
      <c r="K25" s="15">
        <f>(('Sunproject (2)'!K23/(1+Korting!$B$3)*(1-Korting!$B$2)*Prijsmutaties!$C$9))</f>
        <v>176.40155299685946</v>
      </c>
      <c r="L25" s="949"/>
      <c r="M25" s="13">
        <v>400</v>
      </c>
      <c r="N25" s="15"/>
      <c r="O25" s="10">
        <f>(('Sunproject (2)'!O23/(1+Korting!$B$3)*(1-Korting!$B$2)*Prijsmutaties!$C$9))</f>
        <v>1358.9452971609915</v>
      </c>
      <c r="P25" s="949"/>
    </row>
    <row r="26" spans="1:18" ht="18.2" customHeight="1">
      <c r="A26" s="146">
        <f>(('Sunproject (2)'!A24/(1+Korting!$B$3)*(1-Korting!$B$2)*Prijsmutaties!$K$9))</f>
        <v>227.06887636363632</v>
      </c>
      <c r="B26" s="146">
        <f>(('Sunproject (2)'!B24/(1+Korting!$B$3)*(1-Korting!$B$2)*Prijsmutaties!$K$9))</f>
        <v>324.38410909090908</v>
      </c>
      <c r="C26" s="13">
        <v>420</v>
      </c>
      <c r="D26" s="15"/>
      <c r="E26" s="10">
        <f>(('Sunproject (2)'!E24/(1+Korting!$B$3)*(1-Korting!$B$2)*Prijsmutaties!$C$9))</f>
        <v>1296.4114132943801</v>
      </c>
      <c r="F26" s="15">
        <f>(('Sunproject (2)'!F24/(1+Korting!$B$3)*(1-Korting!$B$2)*Prijsmutaties!$C$9))</f>
        <v>143.7345987381818</v>
      </c>
      <c r="G26" s="194">
        <v>420</v>
      </c>
      <c r="H26" s="9"/>
      <c r="I26" s="15"/>
      <c r="J26" s="10">
        <f>(('Sunproject (2)'!J24/(1+Korting!$B$3)*(1-Korting!$B$2)*Prijsmutaties!$C$9))</f>
        <v>1367.3453711132229</v>
      </c>
      <c r="K26" s="15">
        <f>(('Sunproject (2)'!K24/(1+Korting!$B$3)*(1-Korting!$B$2)*Prijsmutaties!$C$9))</f>
        <v>176.40155299685946</v>
      </c>
      <c r="L26" s="949"/>
      <c r="M26" s="13">
        <v>420</v>
      </c>
      <c r="N26" s="15"/>
      <c r="O26" s="10">
        <f>(('Sunproject (2)'!O24/(1+Korting!$B$3)*(1-Korting!$B$2)*Prijsmutaties!$C$9))</f>
        <v>1387.8788852186774</v>
      </c>
      <c r="P26" s="949"/>
    </row>
    <row r="27" spans="1:18" ht="18.2" customHeight="1">
      <c r="A27" s="146">
        <f>(('Sunproject (2)'!A25/(1+Korting!$B$3)*(1-Korting!$B$2)*Prijsmutaties!$K$9))</f>
        <v>227.06887636363632</v>
      </c>
      <c r="B27" s="146">
        <f>(('Sunproject (2)'!B25/(1+Korting!$B$3)*(1-Korting!$B$2)*Prijsmutaties!$K$9))</f>
        <v>324.38410909090908</v>
      </c>
      <c r="C27" s="13">
        <v>440</v>
      </c>
      <c r="D27" s="15"/>
      <c r="E27" s="10">
        <f>(('Sunproject (2)'!E25/(1+Korting!$B$3)*(1-Korting!$B$2)*Prijsmutaties!$C$9))</f>
        <v>1329.0783675530579</v>
      </c>
      <c r="F27" s="15">
        <f>(('Sunproject (2)'!F25/(1+Korting!$B$3)*(1-Korting!$B$2)*Prijsmutaties!$C$9))</f>
        <v>143.7345987381818</v>
      </c>
      <c r="G27" s="194">
        <v>440</v>
      </c>
      <c r="H27" s="9"/>
      <c r="I27" s="15"/>
      <c r="J27" s="10">
        <f>(('Sunproject (2)'!J25/(1+Korting!$B$3)*(1-Korting!$B$2)*Prijsmutaties!$C$9))</f>
        <v>1395.345617620661</v>
      </c>
      <c r="K27" s="15">
        <f>(('Sunproject (2)'!K25/(1+Korting!$B$3)*(1-Korting!$B$2)*Prijsmutaties!$C$9))</f>
        <v>176.40155299685946</v>
      </c>
      <c r="L27" s="949"/>
      <c r="M27" s="13">
        <v>440</v>
      </c>
      <c r="N27" s="15"/>
      <c r="O27" s="10">
        <f>(('Sunproject (2)'!O25/(1+Korting!$B$3)*(1-Korting!$B$2)*Prijsmutaties!$C$9))</f>
        <v>1424.2792056783469</v>
      </c>
      <c r="P27" s="949"/>
    </row>
    <row r="28" spans="1:18" ht="18.2" customHeight="1" thickBot="1">
      <c r="A28" s="146">
        <f>(('Sunproject (2)'!A26/(1+Korting!$B$3)*(1-Korting!$B$2)*Prijsmutaties!$K$9))</f>
        <v>227.06887636363632</v>
      </c>
      <c r="B28" s="146">
        <f>(('Sunproject (2)'!B26/(1+Korting!$B$3)*(1-Korting!$B$2)*Prijsmutaties!$K$9))</f>
        <v>324.38410909090908</v>
      </c>
      <c r="C28" s="307">
        <v>460</v>
      </c>
      <c r="D28" s="260"/>
      <c r="E28" s="262">
        <f>(('Sunproject (2)'!E26/(1+Korting!$B$3)*(1-Korting!$B$2)*Prijsmutaties!$C$9))</f>
        <v>1365.4786880127272</v>
      </c>
      <c r="F28" s="260">
        <f>(('Sunproject (2)'!F26/(1+Korting!$B$3)*(1-Korting!$B$2)*Prijsmutaties!$C$9))</f>
        <v>143.7345987381818</v>
      </c>
      <c r="G28" s="329">
        <v>460</v>
      </c>
      <c r="H28" s="330"/>
      <c r="I28" s="260"/>
      <c r="J28" s="262">
        <f>(('Sunproject (2)'!J26/(1+Korting!$B$3)*(1-Korting!$B$2)*Prijsmutaties!$C$9))</f>
        <v>1434.545962731074</v>
      </c>
      <c r="K28" s="260">
        <f>(('Sunproject (2)'!K26/(1+Korting!$B$3)*(1-Korting!$B$2)*Prijsmutaties!$C$9))</f>
        <v>176.40155299685946</v>
      </c>
      <c r="L28" s="950"/>
      <c r="M28" s="307">
        <v>460</v>
      </c>
      <c r="N28" s="260"/>
      <c r="O28" s="262">
        <f>(('Sunproject (2)'!O26/(1+Korting!$B$3)*(1-Korting!$B$2)*Prijsmutaties!$C$9))</f>
        <v>1464.4128923390081</v>
      </c>
      <c r="P28" s="950"/>
    </row>
    <row r="29" spans="1:18" ht="18.2" customHeight="1">
      <c r="A29" s="146">
        <f>(('Sunproject (2)'!A27/(1+Korting!$B$3)*(1-Korting!$B$2)*Prijsmutaties!$K$9))</f>
        <v>227.06887636363632</v>
      </c>
      <c r="B29" s="146">
        <f>(('Sunproject (2)'!B27/(1+Korting!$B$3)*(1-Korting!$B$2)*Prijsmutaties!$K$9))</f>
        <v>324.38410909090908</v>
      </c>
      <c r="C29" s="331">
        <v>500</v>
      </c>
      <c r="D29" s="332"/>
      <c r="E29" s="333">
        <f>(('Sunproject (2)'!E27/(1+Korting!$B$3)*(1-Korting!$B$2)*Prijsmutaties!$C$9))</f>
        <v>1822.8160476342148</v>
      </c>
      <c r="F29" s="334">
        <f>(('Sunproject (2)'!F27/(1+Korting!$B$3)*(1-Korting!$B$2)*Prijsmutaties!$C$9))</f>
        <v>180.13491919785122</v>
      </c>
      <c r="G29" s="335">
        <v>500</v>
      </c>
      <c r="H29" s="336"/>
      <c r="I29" s="332"/>
      <c r="J29" s="333">
        <f>(('Sunproject (2)'!J27/(1+Korting!$B$3)*(1-Korting!$B$2)*Prijsmutaties!$C$9))</f>
        <v>1904.9501040560331</v>
      </c>
      <c r="K29" s="334">
        <f>(('Sunproject (2)'!K27/(1+Korting!$B$3)*(1-Korting!$B$2)*Prijsmutaties!$C$9))</f>
        <v>214.66855655702477</v>
      </c>
      <c r="L29" s="337"/>
      <c r="M29" s="338">
        <v>500</v>
      </c>
      <c r="N29" s="332"/>
      <c r="O29" s="333">
        <f>(('Sunproject (2)'!O27/(1+Korting!$B$3)*(1-Korting!$B$2)*Prijsmutaties!$C$9))</f>
        <v>1935.7503752142147</v>
      </c>
      <c r="P29" s="348"/>
      <c r="Q29" s="934" t="s">
        <v>283</v>
      </c>
      <c r="R29" s="324" t="s">
        <v>280</v>
      </c>
    </row>
    <row r="30" spans="1:18" ht="18.2" customHeight="1">
      <c r="A30" s="146">
        <f>(('Sunproject (2)'!A28/(1+Korting!$B$3)*(1-Korting!$B$2)*Prijsmutaties!$K$9))</f>
        <v>262.88990231404955</v>
      </c>
      <c r="B30" s="146">
        <f>(('Sunproject (2)'!B28/(1+Korting!$B$3)*(1-Korting!$B$2)*Prijsmutaties!$K$9))</f>
        <v>375.55700330578509</v>
      </c>
      <c r="C30" s="339">
        <v>550</v>
      </c>
      <c r="D30" s="226"/>
      <c r="E30" s="10">
        <f>(('Sunproject (2)'!E28/(1+Korting!$B$3)*(1-Korting!$B$2)*Prijsmutaties!$C$9))</f>
        <v>1923.6169350609916</v>
      </c>
      <c r="F30" s="15">
        <f>(('Sunproject (2)'!F28/(1+Korting!$B$3)*(1-Korting!$B$2)*Prijsmutaties!$C$9))</f>
        <v>180.13491919785122</v>
      </c>
      <c r="G30" s="194">
        <v>550</v>
      </c>
      <c r="H30" s="9"/>
      <c r="I30" s="226"/>
      <c r="J30" s="10">
        <f>(('Sunproject (2)'!J28/(1+Korting!$B$3)*(1-Korting!$B$2)*Prijsmutaties!$C$9))</f>
        <v>2020.6844562867768</v>
      </c>
      <c r="K30" s="15">
        <f>(('Sunproject (2)'!K28/(1+Korting!$B$3)*(1-Korting!$B$2)*Prijsmutaties!$C$9))</f>
        <v>214.66855655702477</v>
      </c>
      <c r="L30" s="323"/>
      <c r="M30" s="13">
        <v>550</v>
      </c>
      <c r="N30" s="226"/>
      <c r="O30" s="10">
        <f>(('Sunproject (2)'!O28/(1+Korting!$B$3)*(1-Korting!$B$2)*Prijsmutaties!$C$9))</f>
        <v>2050.5513858947106</v>
      </c>
      <c r="P30" s="349"/>
      <c r="Q30" s="935"/>
      <c r="R30" s="324" t="s">
        <v>281</v>
      </c>
    </row>
    <row r="31" spans="1:18" ht="18.2" customHeight="1">
      <c r="A31" s="146">
        <f>(('Sunproject (2)'!A29/(1+Korting!$B$3)*(1-Korting!$B$2)*Prijsmutaties!$K$9))</f>
        <v>262.88990231404955</v>
      </c>
      <c r="B31" s="146">
        <f>(('Sunproject (2)'!B29/(1+Korting!$B$3)*(1-Korting!$B$2)*Prijsmutaties!$K$9))</f>
        <v>375.55700330578509</v>
      </c>
      <c r="C31" s="339">
        <v>600</v>
      </c>
      <c r="D31" s="226"/>
      <c r="E31" s="10">
        <f>(('Sunproject (2)'!E29/(1+Korting!$B$3)*(1-Korting!$B$2)*Prijsmutaties!$C$9))</f>
        <v>1996.4175759803304</v>
      </c>
      <c r="F31" s="15">
        <f>(('Sunproject (2)'!F29/(1+Korting!$B$3)*(1-Korting!$B$2)*Prijsmutaties!$C$9))</f>
        <v>209.06850725553716</v>
      </c>
      <c r="G31" s="194">
        <v>600</v>
      </c>
      <c r="H31" s="9"/>
      <c r="I31" s="226"/>
      <c r="J31" s="10">
        <f>(('Sunproject (2)'!J29/(1+Korting!$B$3)*(1-Korting!$B$2)*Prijsmutaties!$C$9))</f>
        <v>2097.2184634071073</v>
      </c>
      <c r="K31" s="15">
        <f>(('Sunproject (2)'!K29/(1+Korting!$B$3)*(1-Korting!$B$2)*Prijsmutaties!$C$9))</f>
        <v>252.93556011719005</v>
      </c>
      <c r="L31" s="323"/>
      <c r="M31" s="13">
        <v>600</v>
      </c>
      <c r="N31" s="226"/>
      <c r="O31" s="10">
        <f>(('Sunproject (2)'!O29/(1+Korting!$B$3)*(1-Korting!$B$2)*Prijsmutaties!$C$9))</f>
        <v>2126.1520514647932</v>
      </c>
      <c r="P31" s="349"/>
      <c r="Q31" s="935"/>
      <c r="R31" s="324" t="s">
        <v>282</v>
      </c>
    </row>
    <row r="32" spans="1:18" ht="18.2" customHeight="1">
      <c r="A32" s="146">
        <f>(('Sunproject (2)'!A30/(1+Korting!$B$3)*(1-Korting!$B$2)*Prijsmutaties!$K$9))</f>
        <v>293.85383999999993</v>
      </c>
      <c r="B32" s="146">
        <f>(('Sunproject (2)'!B30/(1+Korting!$B$3)*(1-Korting!$B$2)*Prijsmutaties!$K$9))</f>
        <v>419.79119999999995</v>
      </c>
      <c r="C32" s="339">
        <v>650</v>
      </c>
      <c r="D32" s="226"/>
      <c r="E32" s="10">
        <f>(('Sunproject (2)'!E30/(1+Korting!$B$3)*(1-Korting!$B$2)*Prijsmutaties!$C$9))</f>
        <v>2099.085146507603</v>
      </c>
      <c r="F32" s="15">
        <f>(('Sunproject (2)'!F30/(1+Korting!$B$3)*(1-Korting!$B$2)*Prijsmutaties!$C$9))</f>
        <v>209.06850725553716</v>
      </c>
      <c r="G32" s="194">
        <v>650</v>
      </c>
      <c r="H32" s="9"/>
      <c r="I32" s="226"/>
      <c r="J32" s="10">
        <f>(('Sunproject (2)'!J30/(1+Korting!$B$3)*(1-Korting!$B$2)*Prijsmutaties!$C$9))</f>
        <v>2208.2861078866117</v>
      </c>
      <c r="K32" s="15">
        <f>(('Sunproject (2)'!K30/(1+Korting!$B$3)*(1-Korting!$B$2)*Prijsmutaties!$C$9))</f>
        <v>252.93556011719005</v>
      </c>
      <c r="L32" s="286"/>
      <c r="M32" s="13">
        <v>650</v>
      </c>
      <c r="N32" s="226"/>
      <c r="O32" s="10">
        <f>(('Sunproject (2)'!O30/(1+Korting!$B$3)*(1-Korting!$B$2)*Prijsmutaties!$C$9))</f>
        <v>2249.3531360975207</v>
      </c>
      <c r="P32" s="349"/>
      <c r="Q32" s="935"/>
    </row>
    <row r="33" spans="1:17" ht="18.2" customHeight="1">
      <c r="A33" s="146">
        <f>(('Sunproject (2)'!A31/(1+Korting!$B$3)*(1-Korting!$B$2)*Prijsmutaties!$K$9))</f>
        <v>293.85383999999993</v>
      </c>
      <c r="B33" s="146">
        <f>(('Sunproject (2)'!B31/(1+Korting!$B$3)*(1-Korting!$B$2)*Prijsmutaties!$K$9))</f>
        <v>419.79119999999995</v>
      </c>
      <c r="C33" s="339">
        <v>700</v>
      </c>
      <c r="D33" s="226"/>
      <c r="E33" s="10">
        <f>(('Sunproject (2)'!E31/(1+Korting!$B$3)*(1-Korting!$B$2)*Prijsmutaties!$C$9))</f>
        <v>2171.885787426942</v>
      </c>
      <c r="F33" s="15">
        <f>(('Sunproject (2)'!F31/(1+Korting!$B$3)*(1-Korting!$B$2)*Prijsmutaties!$C$9))</f>
        <v>209.06850725553716</v>
      </c>
      <c r="G33" s="194">
        <v>700</v>
      </c>
      <c r="H33" s="9"/>
      <c r="I33" s="226"/>
      <c r="J33" s="10">
        <f>(('Sunproject (2)'!J31/(1+Korting!$B$3)*(1-Korting!$B$2)*Prijsmutaties!$C$9))</f>
        <v>2283.8867734566938</v>
      </c>
      <c r="K33" s="15">
        <f>(('Sunproject (2)'!K31/(1+Korting!$B$3)*(1-Korting!$B$2)*Prijsmutaties!$C$9))</f>
        <v>252.93556011719005</v>
      </c>
      <c r="L33" s="286"/>
      <c r="M33" s="13">
        <v>700</v>
      </c>
      <c r="N33" s="226"/>
      <c r="O33" s="10">
        <f>(('Sunproject (2)'!O31/(1+Korting!$B$3)*(1-Korting!$B$2)*Prijsmutaties!$C$9))</f>
        <v>2322.1537770168588</v>
      </c>
      <c r="P33" s="349"/>
      <c r="Q33" s="935"/>
    </row>
    <row r="34" spans="1:17" ht="18.2" customHeight="1">
      <c r="A34" s="146">
        <f>(('Sunproject (2)'!A32/(1+Korting!$B$3)*(1-Korting!$B$2)*Prijsmutaties!$K$9))</f>
        <v>325.95069352363635</v>
      </c>
      <c r="B34" s="146">
        <f>(('Sunproject (2)'!B32/(1+Korting!$B$3)*(1-Korting!$B$2)*Prijsmutaties!$K$9))</f>
        <v>465.643847890909</v>
      </c>
      <c r="C34" s="339">
        <v>750</v>
      </c>
      <c r="D34" s="226"/>
      <c r="E34" s="10">
        <f>(('Sunproject (2)'!E32/(1+Korting!$B$3)*(1-Korting!$B$2)*Prijsmutaties!$C$9))</f>
        <v>2273.6200164039669</v>
      </c>
      <c r="F34" s="15">
        <f>(('Sunproject (2)'!F32/(1+Korting!$B$3)*(1-Korting!$B$2)*Prijsmutaties!$C$9))</f>
        <v>245.4688277152066</v>
      </c>
      <c r="G34" s="194">
        <v>750</v>
      </c>
      <c r="H34" s="9"/>
      <c r="I34" s="226"/>
      <c r="J34" s="10">
        <f>(('Sunproject (2)'!J32/(1+Korting!$B$3)*(1-Korting!$B$2)*Prijsmutaties!$C$9))</f>
        <v>2405.2211749889257</v>
      </c>
      <c r="K34" s="15">
        <f>(('Sunproject (2)'!K32/(1+Korting!$B$3)*(1-Korting!$B$2)*Prijsmutaties!$C$9))</f>
        <v>294.00258832809914</v>
      </c>
      <c r="L34" s="286"/>
      <c r="M34" s="13">
        <v>750</v>
      </c>
      <c r="N34" s="226"/>
      <c r="O34" s="10">
        <f>(('Sunproject (2)'!O32/(1+Korting!$B$3)*(1-Korting!$B$2)*Prijsmutaties!$C$9))</f>
        <v>2436.9547876973552</v>
      </c>
      <c r="P34" s="349"/>
      <c r="Q34" s="935"/>
    </row>
    <row r="35" spans="1:17" ht="18" customHeight="1" thickBot="1">
      <c r="A35" s="146">
        <f>(('Sunproject (2)'!A33/(1+Korting!$B$3)*(1-Korting!$B$2)*Prijsmutaties!$K$9))</f>
        <v>325.95069352363635</v>
      </c>
      <c r="B35" s="146">
        <f>(('Sunproject (2)'!B33/(1+Korting!$B$3)*(1-Korting!$B$2)*Prijsmutaties!$K$9))</f>
        <v>465.643847890909</v>
      </c>
      <c r="C35" s="340">
        <v>800</v>
      </c>
      <c r="D35" s="341"/>
      <c r="E35" s="342">
        <f>(('Sunproject (2)'!E33/(1+Korting!$B$3)*(1-Korting!$B$2)*Prijsmutaties!$C$9))</f>
        <v>2344.5539742228098</v>
      </c>
      <c r="F35" s="343">
        <f>(('Sunproject (2)'!F33/(1+Korting!$B$3)*(1-Korting!$B$2)*Prijsmutaties!$C$9))</f>
        <v>245.4688277152066</v>
      </c>
      <c r="G35" s="344">
        <v>800</v>
      </c>
      <c r="H35" s="345"/>
      <c r="I35" s="341"/>
      <c r="J35" s="342">
        <f>(('Sunproject (2)'!J33/(1+Korting!$B$3)*(1-Korting!$B$2)*Prijsmutaties!$C$9))</f>
        <v>2479.8884990087599</v>
      </c>
      <c r="K35" s="343">
        <f>(('Sunproject (2)'!K33/(1+Korting!$B$3)*(1-Korting!$B$2)*Prijsmutaties!$C$9))</f>
        <v>294.00258832809914</v>
      </c>
      <c r="L35" s="346"/>
      <c r="M35" s="347">
        <v>800</v>
      </c>
      <c r="N35" s="341"/>
      <c r="O35" s="342">
        <f>(('Sunproject (2)'!O33/(1+Korting!$B$3)*(1-Korting!$B$2)*Prijsmutaties!$C$9))</f>
        <v>2518.1555025689254</v>
      </c>
      <c r="P35" s="350"/>
      <c r="Q35" s="936"/>
    </row>
    <row r="37" spans="1:17" ht="16.5">
      <c r="A37" s="917" t="s">
        <v>387</v>
      </c>
      <c r="B37" s="918"/>
      <c r="C37" s="918"/>
      <c r="D37" s="918"/>
      <c r="E37" s="919"/>
    </row>
    <row r="38" spans="1:17" ht="16.5">
      <c r="A38" s="539" t="s">
        <v>407</v>
      </c>
      <c r="B38" s="540"/>
      <c r="C38" s="540"/>
      <c r="D38" s="540"/>
      <c r="E38" s="15">
        <f>(('Suncube 150 (2)'!E35/(1+Korting!$B$3)*(1-Korting!$B$2)*Prijsmutaties!$K$9))</f>
        <v>-247.08571770495865</v>
      </c>
    </row>
    <row r="39" spans="1:17" ht="16.5">
      <c r="A39" s="539" t="s">
        <v>408</v>
      </c>
      <c r="B39" s="540"/>
      <c r="C39" s="540"/>
      <c r="D39" s="540"/>
    </row>
  </sheetData>
  <sheetProtection algorithmName="SHA-512" hashValue="lOGNJVepcZJhx+iwt55shfkG5M75PZNHV+WGE7lLf8/udq3ejKEnFq2O/iWwKO6ncilx+aCMIX+y8NsdwpXuFg==" saltValue="3cI9nmE8BBNd4htAWcvSgQ==" spinCount="100000" sheet="1" objects="1" scenarios="1"/>
  <mergeCells count="18">
    <mergeCell ref="A37:E37"/>
    <mergeCell ref="A38:D38"/>
    <mergeCell ref="A39:D39"/>
    <mergeCell ref="P9:P28"/>
    <mergeCell ref="L9:L28"/>
    <mergeCell ref="K8:L8"/>
    <mergeCell ref="Q29:Q35"/>
    <mergeCell ref="A1:O1"/>
    <mergeCell ref="G3:J5"/>
    <mergeCell ref="G8:H8"/>
    <mergeCell ref="K3:P5"/>
    <mergeCell ref="A6:B6"/>
    <mergeCell ref="G6:H6"/>
    <mergeCell ref="K6:L6"/>
    <mergeCell ref="G7:H7"/>
    <mergeCell ref="K7:L7"/>
    <mergeCell ref="A2:P2"/>
    <mergeCell ref="C3:F5"/>
  </mergeCells>
  <phoneticPr fontId="34" type="noConversion"/>
  <pageMargins left="0.70866141732283472" right="0.70866141732283472" top="0.74803149606299213" bottom="0.74803149606299213" header="0.31496062992125984" footer="0.31496062992125984"/>
  <pageSetup paperSize="9" scale="78" orientation="portrait" r:id="rId1"/>
  <headerFooter>
    <oddFooter>&amp;L&amp;D&amp;C&amp;F
Tabblad &amp;A&amp;RInkoopprijslijst excl. BTW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DE17-B9E2-4794-BC17-5D9B8AC1987E}">
  <sheetPr codeName="Blad40">
    <tabColor theme="6" tint="-0.499984740745262"/>
  </sheetPr>
  <dimension ref="A1:H35"/>
  <sheetViews>
    <sheetView topLeftCell="A2" workbookViewId="0">
      <selection activeCell="C21" sqref="C21"/>
    </sheetView>
  </sheetViews>
  <sheetFormatPr defaultRowHeight="12.75"/>
  <cols>
    <col min="1" max="1" width="21.83203125" customWidth="1"/>
    <col min="2" max="2" width="18" customWidth="1"/>
    <col min="3" max="3" width="11.33203125" customWidth="1"/>
    <col min="4" max="4" width="9.33203125" customWidth="1"/>
    <col min="5" max="5" width="7.1640625" customWidth="1"/>
    <col min="6" max="6" width="45.1640625" customWidth="1"/>
    <col min="7" max="7" width="8.83203125" customWidth="1"/>
    <col min="8" max="8" width="11.1640625" customWidth="1"/>
  </cols>
  <sheetData>
    <row r="1" spans="1:8" ht="69" customHeight="1">
      <c r="A1" s="537" t="s">
        <v>234</v>
      </c>
      <c r="B1" s="537"/>
      <c r="C1" s="537"/>
      <c r="D1" s="537"/>
      <c r="E1" s="537"/>
      <c r="F1" s="537"/>
      <c r="G1" s="537"/>
      <c r="H1" s="537"/>
    </row>
    <row r="2" spans="1:8" ht="27" customHeight="1">
      <c r="A2" s="951" t="s">
        <v>235</v>
      </c>
      <c r="B2" s="951"/>
      <c r="C2" s="951"/>
      <c r="D2" s="951"/>
      <c r="E2" s="3"/>
      <c r="F2" s="951" t="s">
        <v>236</v>
      </c>
      <c r="G2" s="951"/>
      <c r="H2" s="3"/>
    </row>
    <row r="3" spans="1:8" ht="26.1" customHeight="1">
      <c r="A3" s="605" t="s">
        <v>347</v>
      </c>
      <c r="B3" s="540"/>
      <c r="C3" s="541"/>
      <c r="D3" s="36">
        <v>124</v>
      </c>
      <c r="E3" s="3"/>
      <c r="F3" s="35" t="s">
        <v>237</v>
      </c>
      <c r="G3" s="36">
        <v>182.5</v>
      </c>
      <c r="H3" s="3"/>
    </row>
    <row r="4" spans="1:8" ht="24.95" customHeight="1">
      <c r="A4" s="542" t="s">
        <v>346</v>
      </c>
      <c r="B4" s="543"/>
      <c r="C4" s="544"/>
      <c r="D4" s="38">
        <v>49.5</v>
      </c>
      <c r="E4" s="3"/>
      <c r="F4" s="37" t="s">
        <v>346</v>
      </c>
      <c r="G4" s="38">
        <v>49.5</v>
      </c>
      <c r="H4" s="3"/>
    </row>
    <row r="5" spans="1:8" ht="26.1" customHeight="1">
      <c r="A5" s="539" t="s">
        <v>238</v>
      </c>
      <c r="B5" s="540"/>
      <c r="C5" s="541"/>
      <c r="D5" s="36">
        <v>46</v>
      </c>
      <c r="E5" s="3"/>
      <c r="F5" s="35" t="s">
        <v>238</v>
      </c>
      <c r="G5" s="36">
        <v>46</v>
      </c>
      <c r="H5" s="3"/>
    </row>
    <row r="6" spans="1:8" ht="24.95" customHeight="1">
      <c r="A6" s="542" t="s">
        <v>239</v>
      </c>
      <c r="B6" s="543"/>
      <c r="C6" s="544"/>
      <c r="D6" s="38">
        <v>37</v>
      </c>
      <c r="E6" s="3"/>
      <c r="F6" s="37" t="s">
        <v>239</v>
      </c>
      <c r="G6" s="38">
        <v>37</v>
      </c>
      <c r="H6" s="3"/>
    </row>
    <row r="7" spans="1:8" ht="26.1" customHeight="1">
      <c r="A7" s="539" t="s">
        <v>240</v>
      </c>
      <c r="B7" s="540"/>
      <c r="C7" s="541"/>
      <c r="D7" s="36">
        <v>103</v>
      </c>
      <c r="E7" s="3"/>
      <c r="F7" s="35" t="s">
        <v>240</v>
      </c>
      <c r="G7" s="36">
        <v>103</v>
      </c>
      <c r="H7" s="3"/>
    </row>
    <row r="8" spans="1:8" ht="26.1" customHeight="1">
      <c r="A8" s="542" t="s">
        <v>241</v>
      </c>
      <c r="B8" s="543"/>
      <c r="C8" s="544"/>
      <c r="D8" s="38">
        <v>55</v>
      </c>
      <c r="E8" s="3"/>
      <c r="F8" s="37" t="s">
        <v>242</v>
      </c>
      <c r="G8" s="38">
        <v>118</v>
      </c>
      <c r="H8" s="3"/>
    </row>
    <row r="9" spans="1:8" ht="24.95" customHeight="1">
      <c r="A9" s="539" t="s">
        <v>9</v>
      </c>
      <c r="B9" s="540"/>
      <c r="C9" s="541"/>
      <c r="D9" s="36">
        <v>70</v>
      </c>
      <c r="E9" s="3"/>
      <c r="F9" s="35" t="s">
        <v>243</v>
      </c>
      <c r="G9" s="36">
        <v>79</v>
      </c>
      <c r="H9" s="3"/>
    </row>
    <row r="10" spans="1:8" ht="16.5" customHeight="1">
      <c r="A10" s="2"/>
      <c r="B10" s="2"/>
      <c r="C10" s="2"/>
      <c r="D10" s="2"/>
      <c r="E10" s="2"/>
      <c r="F10" s="659" t="s">
        <v>241</v>
      </c>
      <c r="G10" s="283">
        <v>122.5</v>
      </c>
      <c r="H10" s="2"/>
    </row>
    <row r="11" spans="1:8" ht="9.6" customHeight="1">
      <c r="A11" s="952" t="s">
        <v>193</v>
      </c>
      <c r="B11" s="952"/>
      <c r="C11" s="952"/>
      <c r="D11" s="952"/>
      <c r="E11" s="2"/>
      <c r="F11" s="647"/>
      <c r="G11" s="284"/>
      <c r="H11" s="2"/>
    </row>
    <row r="12" spans="1:8" ht="17.100000000000001" customHeight="1">
      <c r="A12" s="951"/>
      <c r="B12" s="951"/>
      <c r="C12" s="951"/>
      <c r="D12" s="951"/>
      <c r="E12" s="2"/>
      <c r="F12" s="650" t="s">
        <v>9</v>
      </c>
      <c r="G12" s="277">
        <v>70</v>
      </c>
      <c r="H12" s="2"/>
    </row>
    <row r="13" spans="1:8" ht="20.25" customHeight="1">
      <c r="A13" s="693" t="s">
        <v>244</v>
      </c>
      <c r="B13" s="694"/>
      <c r="C13" s="695"/>
      <c r="D13" s="277">
        <v>-14</v>
      </c>
      <c r="E13" s="2"/>
      <c r="F13" s="651"/>
      <c r="G13" s="278"/>
      <c r="H13" s="2"/>
    </row>
    <row r="14" spans="1:8" ht="21" customHeight="1">
      <c r="A14" s="696"/>
      <c r="B14" s="697"/>
      <c r="C14" s="698"/>
      <c r="D14" s="299"/>
      <c r="E14" s="2"/>
      <c r="F14" s="2"/>
      <c r="G14" s="2"/>
      <c r="H14" s="2"/>
    </row>
    <row r="15" spans="1:8" ht="15" customHeight="1">
      <c r="A15" s="699"/>
      <c r="B15" s="700"/>
      <c r="C15" s="701"/>
      <c r="D15" s="278"/>
      <c r="E15" s="2"/>
      <c r="F15" s="689" t="s">
        <v>245</v>
      </c>
      <c r="G15" s="689"/>
      <c r="H15" s="689"/>
    </row>
    <row r="16" spans="1:8" ht="25.5" customHeight="1">
      <c r="A16" s="542" t="s">
        <v>246</v>
      </c>
      <c r="B16" s="543"/>
      <c r="C16" s="544"/>
      <c r="D16" s="38">
        <v>-9</v>
      </c>
      <c r="E16" s="3"/>
      <c r="F16" s="3"/>
      <c r="G16" s="3"/>
      <c r="H16" s="3"/>
    </row>
    <row r="17" spans="1:8" ht="16.7" customHeight="1">
      <c r="A17" s="2"/>
      <c r="B17" s="2"/>
      <c r="C17" s="2"/>
      <c r="D17" s="2"/>
      <c r="E17" s="2"/>
      <c r="F17" s="2"/>
      <c r="G17" s="2"/>
      <c r="H17" s="2"/>
    </row>
    <row r="18" spans="1:8" ht="26.45" customHeight="1">
      <c r="A18" s="951" t="s">
        <v>66</v>
      </c>
      <c r="B18" s="951"/>
      <c r="C18" s="951"/>
      <c r="D18" s="951"/>
      <c r="E18" s="3"/>
      <c r="F18" s="805" t="s">
        <v>38</v>
      </c>
      <c r="G18" s="805"/>
      <c r="H18" s="3"/>
    </row>
    <row r="19" spans="1:8" ht="24.95" customHeight="1">
      <c r="A19" s="35" t="s">
        <v>247</v>
      </c>
      <c r="B19" s="36">
        <v>27.5</v>
      </c>
      <c r="C19" s="249">
        <v>38</v>
      </c>
      <c r="D19" s="251"/>
      <c r="E19" s="3"/>
      <c r="F19" s="386" t="s">
        <v>39</v>
      </c>
      <c r="G19" s="384">
        <v>40</v>
      </c>
      <c r="H19" s="3"/>
    </row>
    <row r="20" spans="1:8" ht="26.1" customHeight="1">
      <c r="A20" s="37" t="s">
        <v>82</v>
      </c>
      <c r="B20" s="38">
        <v>27.5</v>
      </c>
      <c r="C20" s="252">
        <v>38</v>
      </c>
      <c r="D20" s="254"/>
      <c r="E20" s="3"/>
      <c r="F20" s="387" t="s">
        <v>41</v>
      </c>
      <c r="G20" s="385">
        <v>45</v>
      </c>
      <c r="H20" s="3"/>
    </row>
    <row r="21" spans="1:8" ht="25.7" customHeight="1">
      <c r="A21" s="35" t="s">
        <v>83</v>
      </c>
      <c r="B21" s="36">
        <v>46</v>
      </c>
      <c r="C21" s="249">
        <v>56</v>
      </c>
      <c r="D21" s="251"/>
      <c r="E21" s="3"/>
      <c r="F21" s="388" t="s">
        <v>42</v>
      </c>
      <c r="G21" s="384">
        <v>18</v>
      </c>
      <c r="H21" s="3"/>
    </row>
    <row r="22" spans="1:8" ht="33">
      <c r="F22" s="389" t="s">
        <v>44</v>
      </c>
      <c r="G22" s="385">
        <v>54</v>
      </c>
    </row>
    <row r="23" spans="1:8" ht="33">
      <c r="F23" s="388" t="s">
        <v>46</v>
      </c>
      <c r="G23" s="384">
        <v>81</v>
      </c>
    </row>
    <row r="24" spans="1:8" ht="16.5">
      <c r="F24" s="389" t="s">
        <v>48</v>
      </c>
      <c r="G24" s="385">
        <v>18</v>
      </c>
    </row>
    <row r="25" spans="1:8">
      <c r="F25" s="2"/>
      <c r="G25" s="2"/>
    </row>
    <row r="26" spans="1:8">
      <c r="F26" s="2"/>
      <c r="G26" s="2"/>
    </row>
    <row r="27" spans="1:8" ht="17.25">
      <c r="F27" s="805" t="s">
        <v>49</v>
      </c>
      <c r="G27" s="805"/>
    </row>
    <row r="28" spans="1:8" ht="16.5">
      <c r="F28" s="388" t="s">
        <v>50</v>
      </c>
      <c r="G28" s="384">
        <v>36</v>
      </c>
    </row>
    <row r="29" spans="1:8" ht="16.5">
      <c r="F29" s="389" t="s">
        <v>52</v>
      </c>
      <c r="G29" s="385">
        <v>49.5</v>
      </c>
    </row>
    <row r="30" spans="1:8" ht="16.5">
      <c r="F30" s="390" t="s">
        <v>285</v>
      </c>
      <c r="G30" s="384">
        <v>89</v>
      </c>
    </row>
    <row r="31" spans="1:8">
      <c r="F31" s="2"/>
      <c r="G31" s="2"/>
    </row>
    <row r="32" spans="1:8" ht="17.25">
      <c r="F32" s="805" t="s">
        <v>56</v>
      </c>
      <c r="G32" s="805"/>
    </row>
    <row r="33" spans="6:7" ht="16.5">
      <c r="F33" s="388" t="s">
        <v>58</v>
      </c>
      <c r="G33" s="384">
        <v>27</v>
      </c>
    </row>
    <row r="34" spans="6:7" ht="16.5">
      <c r="F34" s="389" t="s">
        <v>310</v>
      </c>
      <c r="G34" s="385">
        <v>36</v>
      </c>
    </row>
    <row r="35" spans="6:7" ht="16.5">
      <c r="F35" s="390" t="s">
        <v>311</v>
      </c>
      <c r="G35" s="384">
        <v>54</v>
      </c>
    </row>
  </sheetData>
  <mergeCells count="20">
    <mergeCell ref="A5:C5"/>
    <mergeCell ref="A1:H1"/>
    <mergeCell ref="A2:D2"/>
    <mergeCell ref="F2:G2"/>
    <mergeCell ref="A3:C3"/>
    <mergeCell ref="A4:C4"/>
    <mergeCell ref="A6:C6"/>
    <mergeCell ref="A7:C7"/>
    <mergeCell ref="A8:C8"/>
    <mergeCell ref="A9:C9"/>
    <mergeCell ref="F10:F11"/>
    <mergeCell ref="A11:D12"/>
    <mergeCell ref="F12:F13"/>
    <mergeCell ref="A13:C15"/>
    <mergeCell ref="F27:G27"/>
    <mergeCell ref="F32:G32"/>
    <mergeCell ref="F15:H15"/>
    <mergeCell ref="A16:C16"/>
    <mergeCell ref="A18:D18"/>
    <mergeCell ref="F18:G18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Blad41">
    <tabColor theme="6" tint="-0.499984740745262"/>
    <pageSetUpPr fitToPage="1"/>
  </sheetPr>
  <dimension ref="A1:H24"/>
  <sheetViews>
    <sheetView workbookViewId="0">
      <selection sqref="A1:G1"/>
    </sheetView>
  </sheetViews>
  <sheetFormatPr defaultRowHeight="12.75"/>
  <cols>
    <col min="1" max="1" width="21.83203125" customWidth="1"/>
    <col min="2" max="2" width="18" customWidth="1"/>
    <col min="3" max="3" width="13.33203125" customWidth="1"/>
    <col min="4" max="4" width="9.33203125" customWidth="1"/>
    <col min="5" max="5" width="7.1640625" customWidth="1"/>
    <col min="6" max="6" width="52.83203125" bestFit="1" customWidth="1"/>
    <col min="7" max="7" width="8.83203125" customWidth="1"/>
    <col min="8" max="8" width="11.1640625" customWidth="1"/>
  </cols>
  <sheetData>
    <row r="1" spans="1:8" ht="50.1" customHeight="1">
      <c r="A1" s="956" t="s">
        <v>234</v>
      </c>
      <c r="B1" s="956"/>
      <c r="C1" s="956"/>
      <c r="D1" s="956"/>
      <c r="E1" s="956"/>
      <c r="F1" s="956"/>
      <c r="G1" s="956"/>
      <c r="H1" s="474"/>
    </row>
    <row r="2" spans="1:8" ht="19.5" customHeight="1">
      <c r="A2" s="951" t="s">
        <v>235</v>
      </c>
      <c r="B2" s="951"/>
      <c r="C2" s="951"/>
      <c r="D2" s="951"/>
      <c r="E2" s="3"/>
      <c r="F2" s="951" t="s">
        <v>236</v>
      </c>
      <c r="G2" s="951"/>
      <c r="H2" s="3"/>
    </row>
    <row r="3" spans="1:8" ht="19.5" customHeight="1">
      <c r="A3" s="605" t="s">
        <v>347</v>
      </c>
      <c r="B3" s="540"/>
      <c r="C3" s="541"/>
      <c r="D3" s="15">
        <f>(('Opties Uitval (2)'!D3/(1+Korting!$B$3)*(1-Korting!$B$2)*Prijsmutaties!$G$9))</f>
        <v>111.76745123966941</v>
      </c>
      <c r="E3" s="3"/>
      <c r="F3" s="357" t="s">
        <v>347</v>
      </c>
      <c r="G3" s="15">
        <f>(('Opties Uitval (2)'!G3/(1+Korting!$B$3)*(1-Korting!$B$2)*Prijsmutaties!$G$9))</f>
        <v>164.49645041322313</v>
      </c>
      <c r="H3" s="3"/>
    </row>
    <row r="4" spans="1:8" ht="19.5" customHeight="1">
      <c r="A4" s="542" t="s">
        <v>346</v>
      </c>
      <c r="B4" s="543"/>
      <c r="C4" s="544"/>
      <c r="D4" s="10">
        <f>(('Opties Uitval (2)'!D4/(1+Korting!$B$3)*(1-Korting!$B$2)*Prijsmutaties!$G$9))</f>
        <v>44.616845454545455</v>
      </c>
      <c r="E4" s="3"/>
      <c r="F4" s="37" t="s">
        <v>346</v>
      </c>
      <c r="G4" s="10">
        <f>(('Opties Uitval (2)'!G4/(1+Korting!$B$3)*(1-Korting!$B$2)*Prijsmutaties!$G$9))</f>
        <v>44.616845454545455</v>
      </c>
      <c r="H4" s="3"/>
    </row>
    <row r="5" spans="1:8" ht="19.5" customHeight="1">
      <c r="A5" s="539" t="s">
        <v>238</v>
      </c>
      <c r="B5" s="540"/>
      <c r="C5" s="541"/>
      <c r="D5" s="15">
        <f>(('Opties Uitval (2)'!D5/(1+Korting!$B$3)*(1-Korting!$B$2)*Prijsmutaties!$G$9))</f>
        <v>41.462119008264459</v>
      </c>
      <c r="E5" s="3"/>
      <c r="F5" s="35" t="s">
        <v>238</v>
      </c>
      <c r="G5" s="15">
        <f>(('Opties Uitval (2)'!G5/(1+Korting!$B$3)*(1-Korting!$B$2)*Prijsmutaties!$G$9))</f>
        <v>41.462119008264459</v>
      </c>
      <c r="H5" s="3"/>
    </row>
    <row r="6" spans="1:8" ht="19.5" customHeight="1">
      <c r="A6" s="542" t="s">
        <v>241</v>
      </c>
      <c r="B6" s="543"/>
      <c r="C6" s="544"/>
      <c r="D6" s="10">
        <f>(('Opties Uitval (2)'!D8/(1+Korting!$B$3)*(1-Korting!$B$2)*Prijsmutaties!$G$9))</f>
        <v>49.574272727272721</v>
      </c>
      <c r="E6" s="3"/>
      <c r="F6" s="37" t="s">
        <v>242</v>
      </c>
      <c r="G6" s="10">
        <f>(('Opties Uitval (2)'!G8/(1+Korting!$B$3)*(1-Korting!$B$2)*Prijsmutaties!$G$9))</f>
        <v>106.35934876033056</v>
      </c>
      <c r="H6" s="3"/>
    </row>
    <row r="7" spans="1:8" ht="19.5" customHeight="1">
      <c r="A7" s="539" t="s">
        <v>9</v>
      </c>
      <c r="B7" s="540"/>
      <c r="C7" s="541"/>
      <c r="D7" s="15">
        <f>(('Opties Uitval (2)'!D9/(1+Korting!$B$3)*(1-Korting!$B$2)*Prijsmutaties!$G$9))</f>
        <v>63.094528925619827</v>
      </c>
      <c r="E7" s="3"/>
      <c r="F7" s="35" t="s">
        <v>241</v>
      </c>
      <c r="G7" s="15">
        <f>(('Opties Uitval (2)'!G10/(1+Korting!$B$3)*(1-Korting!$B$2)*Prijsmutaties!$G$9))</f>
        <v>110.41542561983471</v>
      </c>
      <c r="H7" s="3"/>
    </row>
    <row r="8" spans="1:8" ht="19.5" customHeight="1">
      <c r="A8" s="2"/>
      <c r="B8" s="2"/>
      <c r="C8" s="2"/>
      <c r="D8" s="300"/>
      <c r="E8" s="2"/>
      <c r="F8" s="325" t="s">
        <v>9</v>
      </c>
      <c r="G8" s="260">
        <f>(('Opties Uitval (2)'!G12/(1+Korting!$B$3)*(1-Korting!$B$2)*Prijsmutaties!$G$9))</f>
        <v>63.094528925619827</v>
      </c>
      <c r="H8" s="2"/>
    </row>
    <row r="9" spans="1:8" ht="19.5" customHeight="1">
      <c r="A9" s="951" t="s">
        <v>66</v>
      </c>
      <c r="B9" s="951"/>
      <c r="C9" s="951"/>
      <c r="D9" s="951"/>
      <c r="E9" s="2"/>
      <c r="F9" s="310" t="s">
        <v>245</v>
      </c>
      <c r="G9" s="35"/>
      <c r="H9" s="2"/>
    </row>
    <row r="10" spans="1:8" ht="19.5" customHeight="1">
      <c r="A10" s="35" t="s">
        <v>247</v>
      </c>
      <c r="B10" s="15">
        <f>(('Opties Uitval (2)'!B19/(1+Korting!$B$3)*(1-Korting!$B$2)*Prijsmutaties!$G$9))</f>
        <v>24.78713636363636</v>
      </c>
      <c r="C10" s="190">
        <f>(('Opties Uitval (2)'!C19/(1+Korting!$B$3)*(1-Korting!$B$2)*Prijsmutaties!$G$9))</f>
        <v>34.251315702479339</v>
      </c>
      <c r="D10" s="251"/>
      <c r="E10" s="3"/>
      <c r="G10" s="2"/>
      <c r="H10" s="2"/>
    </row>
    <row r="11" spans="1:8" ht="19.5" customHeight="1">
      <c r="A11" s="37" t="s">
        <v>82</v>
      </c>
      <c r="B11" s="10">
        <f>(('Opties Uitval (2)'!B20/(1+Korting!$B$3)*(1-Korting!$B$2)*Prijsmutaties!$G$9))</f>
        <v>24.78713636363636</v>
      </c>
      <c r="C11" s="189">
        <f>(('Opties Uitval (2)'!C20/(1+Korting!$B$3)*(1-Korting!$B$2)*Prijsmutaties!$G$9))</f>
        <v>34.251315702479339</v>
      </c>
      <c r="D11" s="254"/>
      <c r="E11" s="2"/>
      <c r="F11" s="952" t="s">
        <v>49</v>
      </c>
      <c r="G11" s="952"/>
      <c r="H11" s="2"/>
    </row>
    <row r="12" spans="1:8" ht="19.5" customHeight="1">
      <c r="A12" s="35" t="s">
        <v>83</v>
      </c>
      <c r="B12" s="15">
        <f>(('Opties Uitval (2)'!B21/(1+Korting!$B$3)*(1-Korting!$B$2)*Prijsmutaties!$G$9))</f>
        <v>41.462119008264459</v>
      </c>
      <c r="C12" s="190">
        <f>(('Opties Uitval (2)'!C21/(1+Korting!$B$3)*(1-Korting!$B$2)*Prijsmutaties!$G$9))</f>
        <v>50.475623140495863</v>
      </c>
      <c r="D12" s="251"/>
      <c r="E12" s="3"/>
      <c r="F12" s="390" t="s">
        <v>377</v>
      </c>
      <c r="G12" s="384">
        <f>(('Opties Uitval (2)'!G28/(1+Korting!$B$3)*(1-Korting!$B$2)*Prijsmutaties!$G$9))</f>
        <v>32.448614876033055</v>
      </c>
      <c r="H12" s="2"/>
    </row>
    <row r="13" spans="1:8" ht="19.5" customHeight="1">
      <c r="E13" s="3"/>
      <c r="F13" s="477" t="s">
        <v>378</v>
      </c>
      <c r="G13" s="385">
        <f>(('Opties Uitval (2)'!G29/(1+Korting!$B$3)*(1-Korting!$B$2)*Prijsmutaties!$G$9))</f>
        <v>44.616845454545455</v>
      </c>
      <c r="H13" s="310"/>
    </row>
    <row r="14" spans="1:8" ht="19.5" customHeight="1">
      <c r="A14" s="952" t="s">
        <v>38</v>
      </c>
      <c r="B14" s="952"/>
      <c r="C14" s="952"/>
      <c r="D14" s="952"/>
      <c r="E14" s="3"/>
      <c r="F14" s="390" t="s">
        <v>379</v>
      </c>
      <c r="G14" s="384">
        <f>(('Opties Uitval (2)'!G30/(1+Korting!$B$3)*(1-Korting!$B$2)*Prijsmutaties!$G$9))</f>
        <v>80.220186776859492</v>
      </c>
      <c r="H14" s="3"/>
    </row>
    <row r="15" spans="1:8" ht="19.5" customHeight="1">
      <c r="A15" s="953" t="s">
        <v>39</v>
      </c>
      <c r="B15" s="954"/>
      <c r="C15" s="955"/>
      <c r="D15" s="384">
        <f>(('Opties Uitval (2)'!G19/(1+Korting!$B$3)*(1-Korting!$B$2)*Prijsmutaties!$G$9))</f>
        <v>36.054016528925622</v>
      </c>
      <c r="E15" s="3"/>
      <c r="F15" s="2"/>
      <c r="G15" s="2"/>
      <c r="H15" s="2"/>
    </row>
    <row r="16" spans="1:8" ht="19.5" customHeight="1">
      <c r="A16" s="883" t="s">
        <v>41</v>
      </c>
      <c r="B16" s="878"/>
      <c r="C16" s="879"/>
      <c r="D16" s="385">
        <f>(('Opties Uitval (2)'!G20/(1+Korting!$B$3)*(1-Korting!$B$2)*Prijsmutaties!$G$9))</f>
        <v>40.560768595041317</v>
      </c>
      <c r="F16" s="952" t="s">
        <v>56</v>
      </c>
      <c r="G16" s="952"/>
      <c r="H16" s="3"/>
    </row>
    <row r="17" spans="1:8" ht="19.5" customHeight="1">
      <c r="A17" s="953" t="s">
        <v>42</v>
      </c>
      <c r="B17" s="954"/>
      <c r="C17" s="955"/>
      <c r="D17" s="384">
        <f>(('Opties Uitval (2)'!G21/(1+Korting!$B$3)*(1-Korting!$B$2)*Prijsmutaties!$G$9))</f>
        <v>16.224307438016528</v>
      </c>
      <c r="F17" s="390" t="s">
        <v>377</v>
      </c>
      <c r="G17" s="384">
        <f>(('Opties Uitval (2)'!G33/(1+Korting!$B$3)*(1-Korting!$B$2)*Prijsmutaties!$G$9))</f>
        <v>24.336461157024793</v>
      </c>
      <c r="H17" s="3"/>
    </row>
    <row r="18" spans="1:8" ht="19.5" customHeight="1">
      <c r="A18" s="883" t="s">
        <v>44</v>
      </c>
      <c r="B18" s="878"/>
      <c r="C18" s="879"/>
      <c r="D18" s="385">
        <f>(('Opties Uitval (2)'!G22/(1+Korting!$B$3)*(1-Korting!$B$2)*Prijsmutaties!$G$9))</f>
        <v>48.672922314049586</v>
      </c>
      <c r="F18" s="477" t="s">
        <v>378</v>
      </c>
      <c r="G18" s="385">
        <f>(('Opties Uitval (2)'!G34/(1+Korting!$B$3)*(1-Korting!$B$2)*Prijsmutaties!$G$9))</f>
        <v>32.448614876033055</v>
      </c>
      <c r="H18" s="3"/>
    </row>
    <row r="19" spans="1:8" ht="19.5" customHeight="1">
      <c r="A19" s="953" t="s">
        <v>46</v>
      </c>
      <c r="B19" s="954"/>
      <c r="C19" s="955"/>
      <c r="D19" s="384">
        <f>(('Opties Uitval (2)'!G23/(1+Korting!$B$3)*(1-Korting!$B$2)*Prijsmutaties!$G$9))</f>
        <v>73.009383471074372</v>
      </c>
      <c r="F19" s="390" t="s">
        <v>379</v>
      </c>
      <c r="G19" s="384">
        <f>(('Opties Uitval (2)'!G35/(1+Korting!$B$3)*(1-Korting!$B$2)*Prijsmutaties!$G$9))</f>
        <v>48.672922314049586</v>
      </c>
      <c r="H19" s="3"/>
    </row>
    <row r="20" spans="1:8" ht="19.5" customHeight="1">
      <c r="A20" s="883" t="s">
        <v>48</v>
      </c>
      <c r="B20" s="878"/>
      <c r="C20" s="879"/>
      <c r="D20" s="385">
        <f>(('Opties Uitval (2)'!G24/(1+Korting!$B$3)*(1-Korting!$B$2)*Prijsmutaties!$G$9))</f>
        <v>16.224307438016528</v>
      </c>
    </row>
    <row r="21" spans="1:8" ht="19.5" customHeight="1"/>
    <row r="24" spans="1:8" ht="19.5" customHeight="1"/>
  </sheetData>
  <sheetProtection algorithmName="SHA-512" hashValue="97r8VtfsBU+rS1M7z2OD8mitRENInSYPJA9aXtm/B7ousddNpEjRpZOSoV/4cHEvjUCFUt6RyWRmdsmpy6xg2g==" saltValue="bEka11EAfDTYGiv55fvTqQ==" spinCount="100000" sheet="1" objects="1" scenarios="1"/>
  <mergeCells count="18">
    <mergeCell ref="A1:G1"/>
    <mergeCell ref="A6:C6"/>
    <mergeCell ref="A7:C7"/>
    <mergeCell ref="F11:G11"/>
    <mergeCell ref="F16:G16"/>
    <mergeCell ref="A9:D9"/>
    <mergeCell ref="A5:C5"/>
    <mergeCell ref="A2:D2"/>
    <mergeCell ref="F2:G2"/>
    <mergeCell ref="A3:C3"/>
    <mergeCell ref="A4:C4"/>
    <mergeCell ref="A19:C19"/>
    <mergeCell ref="A20:C20"/>
    <mergeCell ref="A15:C15"/>
    <mergeCell ref="A14:D14"/>
    <mergeCell ref="A16:C16"/>
    <mergeCell ref="A17:C17"/>
    <mergeCell ref="A18:C18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Footer>&amp;L&amp;D&amp;C&amp;F
Tabblad &amp;A&amp;RInkoopprijslijst excl. BTW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13C4-BC89-4159-8C60-D0B2B28038F7}">
  <sheetPr codeName="Blad46">
    <tabColor theme="8" tint="0.39997558519241921"/>
    <pageSetUpPr fitToPage="1"/>
  </sheetPr>
  <dimension ref="A1:AI27"/>
  <sheetViews>
    <sheetView topLeftCell="A2" zoomScaleNormal="100" workbookViewId="0">
      <selection activeCell="N20" sqref="N20:R26"/>
    </sheetView>
  </sheetViews>
  <sheetFormatPr defaultRowHeight="12.75"/>
  <cols>
    <col min="1" max="1" width="7.33203125" customWidth="1"/>
    <col min="2" max="2" width="7.5" customWidth="1"/>
    <col min="3" max="11" width="6.83203125" customWidth="1"/>
  </cols>
  <sheetData>
    <row r="1" spans="1:35" ht="61.5" customHeight="1">
      <c r="A1" s="803" t="s">
        <v>409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  <c r="M1" s="957" t="s">
        <v>457</v>
      </c>
      <c r="N1" s="957"/>
      <c r="O1" s="957"/>
      <c r="P1" s="957"/>
      <c r="Q1" s="957"/>
      <c r="R1" s="957"/>
      <c r="S1" s="957"/>
      <c r="T1" s="957"/>
      <c r="U1" s="957"/>
      <c r="V1" s="957"/>
      <c r="W1" s="957"/>
      <c r="X1" s="498"/>
      <c r="Y1" s="957" t="s">
        <v>460</v>
      </c>
      <c r="Z1" s="957"/>
      <c r="AA1" s="957"/>
      <c r="AB1" s="957"/>
      <c r="AC1" s="957"/>
      <c r="AD1" s="957"/>
      <c r="AE1" s="957"/>
      <c r="AF1" s="957"/>
      <c r="AG1" s="957"/>
      <c r="AH1" s="957"/>
      <c r="AI1" s="957"/>
    </row>
    <row r="2" spans="1:35" ht="20.100000000000001" customHeight="1">
      <c r="A2" s="958" t="s">
        <v>411</v>
      </c>
      <c r="B2" s="479" t="s">
        <v>410</v>
      </c>
      <c r="C2" s="5">
        <v>250</v>
      </c>
      <c r="D2" s="5">
        <v>300</v>
      </c>
      <c r="E2" s="5">
        <v>350</v>
      </c>
      <c r="F2" s="5">
        <v>400</v>
      </c>
      <c r="G2" s="5">
        <v>450</v>
      </c>
      <c r="H2" s="5"/>
      <c r="I2" s="5"/>
      <c r="J2" s="5"/>
      <c r="K2" s="5"/>
      <c r="M2" s="958" t="s">
        <v>411</v>
      </c>
      <c r="N2" s="479" t="s">
        <v>410</v>
      </c>
      <c r="O2" s="5">
        <v>250</v>
      </c>
      <c r="P2" s="5">
        <v>300</v>
      </c>
      <c r="Q2" s="5">
        <v>350</v>
      </c>
      <c r="R2" s="5">
        <v>400</v>
      </c>
      <c r="S2" s="5">
        <v>450</v>
      </c>
      <c r="T2" s="5"/>
      <c r="U2" s="5"/>
      <c r="V2" s="5"/>
      <c r="W2" s="5"/>
      <c r="X2" s="498"/>
      <c r="Y2" s="958"/>
      <c r="Z2" s="479"/>
      <c r="AA2" s="5">
        <v>2500</v>
      </c>
      <c r="AB2" s="5">
        <v>3000</v>
      </c>
      <c r="AC2" s="5">
        <v>3500</v>
      </c>
      <c r="AD2" s="5">
        <v>4000</v>
      </c>
      <c r="AE2" s="5">
        <v>4500</v>
      </c>
      <c r="AF2" s="5"/>
      <c r="AG2" s="5"/>
      <c r="AH2" s="5"/>
      <c r="AI2" s="5"/>
    </row>
    <row r="3" spans="1:35" ht="20.100000000000001" customHeight="1">
      <c r="A3" s="958"/>
      <c r="B3" s="13">
        <v>300</v>
      </c>
      <c r="C3" s="10">
        <v>2750.235118120419</v>
      </c>
      <c r="D3" s="10">
        <v>2887.1689067368252</v>
      </c>
      <c r="E3" s="10">
        <v>2936.0738312426847</v>
      </c>
      <c r="F3" s="10">
        <v>3031.2161389177204</v>
      </c>
      <c r="G3" s="10">
        <v>3269.5164983280897</v>
      </c>
      <c r="H3" s="10"/>
      <c r="I3" s="10"/>
      <c r="J3" s="10"/>
      <c r="K3" s="10"/>
      <c r="M3" s="958"/>
      <c r="N3" s="13">
        <v>300</v>
      </c>
      <c r="O3" s="10">
        <f>N20/ 1.125</f>
        <v>3043.5555555555557</v>
      </c>
      <c r="P3" s="10">
        <f t="shared" ref="P3:S3" si="0">O20/ 1.125</f>
        <v>3196.4444444444443</v>
      </c>
      <c r="Q3" s="10">
        <f t="shared" si="0"/>
        <v>3273.7777777777778</v>
      </c>
      <c r="R3" s="10">
        <f t="shared" si="0"/>
        <v>3463.1111111111113</v>
      </c>
      <c r="S3" s="10">
        <f t="shared" si="0"/>
        <v>3554.6666666666665</v>
      </c>
      <c r="T3" s="10"/>
      <c r="U3" s="10"/>
      <c r="V3" s="10"/>
      <c r="W3" s="10"/>
      <c r="X3" s="498"/>
      <c r="Y3" s="958"/>
      <c r="Z3" s="13">
        <v>3000</v>
      </c>
      <c r="AA3" s="10">
        <v>5386</v>
      </c>
      <c r="AB3" s="10">
        <v>5554</v>
      </c>
      <c r="AC3" s="10">
        <v>5721</v>
      </c>
      <c r="AD3" s="10">
        <v>5885</v>
      </c>
      <c r="AE3" s="10">
        <v>6055</v>
      </c>
      <c r="AF3" s="10"/>
      <c r="AG3" s="10"/>
      <c r="AH3" s="10"/>
      <c r="AI3" s="10"/>
    </row>
    <row r="4" spans="1:35" ht="20.100000000000001" customHeight="1">
      <c r="A4" s="958"/>
      <c r="B4" s="5">
        <v>350</v>
      </c>
      <c r="C4" s="10">
        <v>2869.3852978256036</v>
      </c>
      <c r="D4" s="10">
        <v>3008.9866277786932</v>
      </c>
      <c r="E4" s="10">
        <v>3081.0102438691406</v>
      </c>
      <c r="F4" s="10">
        <v>3176.1525515441763</v>
      </c>
      <c r="G4" s="10">
        <v>3412.6745500634233</v>
      </c>
      <c r="H4" s="459"/>
      <c r="I4" s="459"/>
      <c r="J4" s="459"/>
      <c r="K4" s="459"/>
      <c r="M4" s="958"/>
      <c r="N4" s="5">
        <v>350</v>
      </c>
      <c r="O4" s="10">
        <f t="shared" ref="O4:S9" si="1">N21/ 1.125</f>
        <v>3112</v>
      </c>
      <c r="P4" s="10">
        <f t="shared" si="1"/>
        <v>3289.7777777777778</v>
      </c>
      <c r="Q4" s="10">
        <f t="shared" si="1"/>
        <v>3467.5555555555557</v>
      </c>
      <c r="R4" s="10">
        <f t="shared" si="1"/>
        <v>3645.3333333333335</v>
      </c>
      <c r="S4" s="10">
        <f t="shared" si="1"/>
        <v>3823.1111111111113</v>
      </c>
      <c r="T4" s="459"/>
      <c r="U4" s="459"/>
      <c r="V4" s="459"/>
      <c r="W4" s="459"/>
      <c r="X4" s="498"/>
      <c r="Y4" s="958"/>
      <c r="Z4" s="5">
        <v>3500</v>
      </c>
      <c r="AA4" s="459">
        <v>5577</v>
      </c>
      <c r="AB4" s="459">
        <v>5743</v>
      </c>
      <c r="AC4" s="459">
        <v>5908</v>
      </c>
      <c r="AD4" s="459">
        <v>6080</v>
      </c>
      <c r="AE4" s="459">
        <v>6247</v>
      </c>
      <c r="AF4" s="459"/>
      <c r="AG4" s="459"/>
      <c r="AH4" s="459"/>
      <c r="AI4" s="459"/>
    </row>
    <row r="5" spans="1:35" ht="20.100000000000001" customHeight="1">
      <c r="A5" s="958"/>
      <c r="B5" s="13">
        <v>400</v>
      </c>
      <c r="C5" s="10">
        <v>2988.5354775307883</v>
      </c>
      <c r="D5" s="10">
        <v>3131.6935292661224</v>
      </c>
      <c r="E5" s="10">
        <v>3224.1682956044747</v>
      </c>
      <c r="F5" s="10">
        <v>3319.3106032795099</v>
      </c>
      <c r="G5" s="10">
        <v>3576.2837520466619</v>
      </c>
      <c r="H5" s="10"/>
      <c r="I5" s="10"/>
      <c r="J5" s="10"/>
      <c r="K5" s="10"/>
      <c r="M5" s="958"/>
      <c r="N5" s="13">
        <v>400</v>
      </c>
      <c r="O5" s="10">
        <f t="shared" si="1"/>
        <v>3297.7777777777778</v>
      </c>
      <c r="P5" s="10">
        <f t="shared" si="1"/>
        <v>3470.2222222222222</v>
      </c>
      <c r="Q5" s="10">
        <f t="shared" si="1"/>
        <v>3649.7777777777778</v>
      </c>
      <c r="R5" s="10">
        <f t="shared" si="1"/>
        <v>3828.4444444444443</v>
      </c>
      <c r="S5" s="10">
        <f t="shared" si="1"/>
        <v>4008.8888888888887</v>
      </c>
      <c r="T5" s="10"/>
      <c r="U5" s="10"/>
      <c r="V5" s="10"/>
      <c r="W5" s="10"/>
      <c r="X5" s="498"/>
      <c r="Y5" s="958"/>
      <c r="Z5" s="13">
        <v>4000</v>
      </c>
      <c r="AA5" s="10">
        <v>5891</v>
      </c>
      <c r="AB5" s="10">
        <v>6083</v>
      </c>
      <c r="AC5" s="10">
        <v>6269</v>
      </c>
      <c r="AD5" s="10">
        <v>6459</v>
      </c>
      <c r="AE5" s="10">
        <v>6646</v>
      </c>
      <c r="AF5" s="10"/>
      <c r="AG5" s="10"/>
      <c r="AH5" s="10"/>
      <c r="AI5" s="10"/>
    </row>
    <row r="6" spans="1:35" ht="18.95" customHeight="1">
      <c r="A6" s="959"/>
      <c r="B6" s="5">
        <v>450</v>
      </c>
      <c r="C6" s="10">
        <v>3117.4666421371448</v>
      </c>
      <c r="D6" s="10">
        <v>3250.843708971307</v>
      </c>
      <c r="E6" s="10">
        <v>3434.9040612024505</v>
      </c>
      <c r="F6" s="10">
        <v>3575.3945716011008</v>
      </c>
      <c r="G6" s="10">
        <v>3833.2569008138139</v>
      </c>
      <c r="H6" s="459"/>
      <c r="I6" s="459"/>
      <c r="J6" s="459"/>
      <c r="K6" s="459"/>
      <c r="M6" s="959"/>
      <c r="N6" s="5">
        <v>450</v>
      </c>
      <c r="O6" s="10">
        <f t="shared" si="1"/>
        <v>3473.7777777777778</v>
      </c>
      <c r="P6" s="10">
        <f t="shared" si="1"/>
        <v>3652.4444444444443</v>
      </c>
      <c r="Q6" s="10">
        <f t="shared" si="1"/>
        <v>3845.3333333333335</v>
      </c>
      <c r="R6" s="10">
        <f t="shared" si="1"/>
        <v>3999.1111111111113</v>
      </c>
      <c r="S6" s="10">
        <f t="shared" si="1"/>
        <v>4089.7777777777778</v>
      </c>
      <c r="T6" s="459"/>
      <c r="U6" s="459"/>
      <c r="V6" s="459"/>
      <c r="W6" s="459"/>
      <c r="X6" s="498"/>
      <c r="Y6" s="959"/>
      <c r="Z6" s="5">
        <v>4500</v>
      </c>
      <c r="AA6" s="459">
        <v>6080</v>
      </c>
      <c r="AB6" s="459">
        <v>6269</v>
      </c>
      <c r="AC6" s="459">
        <v>6457</v>
      </c>
      <c r="AD6" s="459">
        <v>6646</v>
      </c>
      <c r="AE6" s="459">
        <v>6829</v>
      </c>
      <c r="AF6" s="459"/>
      <c r="AG6" s="459"/>
      <c r="AH6" s="459"/>
      <c r="AI6" s="459"/>
    </row>
    <row r="7" spans="1:35" ht="18.95" customHeight="1">
      <c r="A7" s="959"/>
      <c r="B7" s="5">
        <v>500</v>
      </c>
      <c r="C7" s="10">
        <v>3248.1761676346237</v>
      </c>
      <c r="D7" s="10">
        <v>3369.9938886764917</v>
      </c>
      <c r="E7" s="10">
        <v>3643.8614659093041</v>
      </c>
      <c r="F7" s="10">
        <v>3832.3677203682528</v>
      </c>
      <c r="G7" s="10">
        <v>4108.902838937749</v>
      </c>
      <c r="H7" s="459"/>
      <c r="I7" s="459"/>
      <c r="J7" s="459"/>
      <c r="K7" s="459"/>
      <c r="M7" s="959"/>
      <c r="N7" s="5">
        <v>500</v>
      </c>
      <c r="O7" s="10">
        <f t="shared" si="1"/>
        <v>3718.2222222222222</v>
      </c>
      <c r="P7" s="10">
        <f t="shared" si="1"/>
        <v>3878.2222222222222</v>
      </c>
      <c r="Q7" s="10">
        <f t="shared" si="1"/>
        <v>4048</v>
      </c>
      <c r="R7" s="10">
        <f t="shared" si="1"/>
        <v>4232</v>
      </c>
      <c r="S7" s="10">
        <f t="shared" si="1"/>
        <v>4373.333333333333</v>
      </c>
      <c r="T7" s="459"/>
      <c r="U7" s="459"/>
      <c r="V7" s="459"/>
      <c r="W7" s="459"/>
      <c r="X7" s="498"/>
      <c r="Y7" s="959"/>
      <c r="Z7" s="5">
        <v>5000</v>
      </c>
      <c r="AA7" s="459">
        <v>6401</v>
      </c>
      <c r="AB7" s="459">
        <v>6609</v>
      </c>
      <c r="AC7" s="459">
        <v>6821</v>
      </c>
      <c r="AD7" s="459">
        <v>7028</v>
      </c>
      <c r="AE7" s="459">
        <v>7239</v>
      </c>
      <c r="AF7" s="459"/>
      <c r="AG7" s="459"/>
      <c r="AH7" s="459"/>
      <c r="AI7" s="459"/>
    </row>
    <row r="8" spans="1:35" ht="20.100000000000001" customHeight="1">
      <c r="A8" s="959"/>
      <c r="B8" s="13">
        <v>550</v>
      </c>
      <c r="C8" s="10">
        <v>3413.5637305089845</v>
      </c>
      <c r="D8" s="10">
        <v>3558.5001431354403</v>
      </c>
      <c r="E8" s="10">
        <v>3867.9349381906959</v>
      </c>
      <c r="F8" s="10">
        <v>4059.1087339863284</v>
      </c>
      <c r="G8" s="10">
        <v>4336.5330330013849</v>
      </c>
      <c r="H8" s="10"/>
      <c r="I8" s="10"/>
      <c r="J8" s="10"/>
      <c r="K8" s="10"/>
      <c r="M8" s="959"/>
      <c r="N8" s="13">
        <v>550</v>
      </c>
      <c r="O8" s="10">
        <f t="shared" si="1"/>
        <v>3821.3333333333335</v>
      </c>
      <c r="P8" s="10">
        <f t="shared" si="1"/>
        <v>3922.6666666666665</v>
      </c>
      <c r="Q8" s="10">
        <f t="shared" si="1"/>
        <v>4106.666666666667</v>
      </c>
      <c r="R8" s="10">
        <f t="shared" si="1"/>
        <v>4292.4444444444443</v>
      </c>
      <c r="S8" s="10">
        <f t="shared" si="1"/>
        <v>4493.333333333333</v>
      </c>
      <c r="T8" s="10"/>
      <c r="U8" s="10"/>
      <c r="V8" s="10"/>
      <c r="W8" s="10"/>
      <c r="X8" s="498"/>
      <c r="Y8" s="959"/>
      <c r="Z8" s="13" t="s">
        <v>458</v>
      </c>
      <c r="AA8" s="10">
        <v>6806</v>
      </c>
      <c r="AB8" s="10">
        <v>7016</v>
      </c>
      <c r="AC8" s="10">
        <v>7233</v>
      </c>
      <c r="AD8" s="10">
        <v>7443</v>
      </c>
      <c r="AE8" s="10">
        <v>7658</v>
      </c>
      <c r="AF8" s="10"/>
      <c r="AG8" s="10"/>
      <c r="AH8" s="10"/>
      <c r="AI8" s="10"/>
    </row>
    <row r="9" spans="1:35" ht="19.5" customHeight="1">
      <c r="A9" s="959"/>
      <c r="B9" s="5">
        <v>600</v>
      </c>
      <c r="C9" s="10">
        <v>3578.9512933833453</v>
      </c>
      <c r="D9" s="10">
        <v>3746.1172171488283</v>
      </c>
      <c r="E9" s="10">
        <v>4090.2300495809659</v>
      </c>
      <c r="F9" s="10">
        <v>4285.8497476044031</v>
      </c>
      <c r="G9" s="10">
        <v>4582.8360164218038</v>
      </c>
      <c r="H9" s="158"/>
      <c r="I9" s="158"/>
      <c r="J9" s="158"/>
      <c r="K9" s="158"/>
      <c r="M9" s="959"/>
      <c r="N9" s="5">
        <v>600</v>
      </c>
      <c r="O9" s="10">
        <f t="shared" si="1"/>
        <v>3972.4444444444443</v>
      </c>
      <c r="P9" s="10">
        <f t="shared" si="1"/>
        <v>4097.7777777777774</v>
      </c>
      <c r="Q9" s="10">
        <f t="shared" si="1"/>
        <v>4283.5555555555557</v>
      </c>
      <c r="R9" s="10">
        <f t="shared" si="1"/>
        <v>4456</v>
      </c>
      <c r="S9" s="10">
        <f t="shared" si="1"/>
        <v>4671.1111111111113</v>
      </c>
      <c r="T9" s="158"/>
      <c r="U9" s="158"/>
      <c r="V9" s="158"/>
      <c r="W9" s="158"/>
      <c r="X9" s="498"/>
      <c r="Y9" s="959"/>
      <c r="Z9" s="5" t="s">
        <v>459</v>
      </c>
      <c r="AA9" s="459">
        <v>7087</v>
      </c>
      <c r="AB9" s="459">
        <v>7306</v>
      </c>
      <c r="AC9" s="459">
        <v>7507</v>
      </c>
      <c r="AD9" s="459">
        <v>7722</v>
      </c>
      <c r="AE9" s="459">
        <v>7934</v>
      </c>
      <c r="AF9" s="158"/>
      <c r="AG9" s="158"/>
      <c r="AH9" s="158"/>
      <c r="AI9" s="158"/>
    </row>
    <row r="10" spans="1:35" ht="19.5" customHeight="1">
      <c r="A10" s="959"/>
      <c r="B10" s="960" t="s">
        <v>412</v>
      </c>
      <c r="C10" s="961"/>
      <c r="D10" s="961"/>
      <c r="E10" s="961"/>
      <c r="F10" s="961"/>
      <c r="G10" s="961"/>
      <c r="H10" s="962"/>
      <c r="I10" s="480"/>
      <c r="J10" s="480"/>
      <c r="K10" s="480"/>
      <c r="M10" s="959"/>
      <c r="N10" s="960" t="s">
        <v>412</v>
      </c>
      <c r="O10" s="961"/>
      <c r="P10" s="961"/>
      <c r="Q10" s="961"/>
      <c r="R10" s="961"/>
      <c r="S10" s="961"/>
      <c r="T10" s="962"/>
      <c r="U10" s="480"/>
      <c r="V10" s="480"/>
      <c r="W10" s="480"/>
      <c r="X10" s="498"/>
      <c r="Y10" s="959"/>
      <c r="Z10" s="960"/>
      <c r="AA10" s="961"/>
      <c r="AB10" s="961"/>
      <c r="AC10" s="961"/>
      <c r="AD10" s="961"/>
      <c r="AE10" s="961"/>
      <c r="AF10" s="962"/>
      <c r="AG10" s="480"/>
      <c r="AH10" s="480"/>
      <c r="AI10" s="480"/>
    </row>
    <row r="11" spans="1:35" ht="20.8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X11" s="498"/>
    </row>
    <row r="12" spans="1:35" ht="16.5" customHeight="1">
      <c r="A12" s="571" t="s">
        <v>7</v>
      </c>
      <c r="B12" s="571"/>
      <c r="C12" s="571"/>
      <c r="D12" s="571"/>
      <c r="E12" s="571"/>
      <c r="F12" s="571"/>
      <c r="G12" s="571"/>
      <c r="H12" s="571"/>
      <c r="I12" s="571"/>
      <c r="J12" s="571"/>
      <c r="K12" s="571"/>
      <c r="M12" s="571" t="s">
        <v>7</v>
      </c>
      <c r="N12" s="571"/>
      <c r="O12" s="571"/>
      <c r="P12" s="571"/>
      <c r="Q12" s="571"/>
      <c r="R12" s="571"/>
      <c r="S12" s="571"/>
      <c r="T12" s="571"/>
      <c r="U12" s="571"/>
      <c r="V12" s="571"/>
      <c r="W12" s="571"/>
      <c r="X12" s="498"/>
    </row>
    <row r="13" spans="1:35" ht="18" customHeight="1">
      <c r="A13" s="605" t="s">
        <v>414</v>
      </c>
      <c r="B13" s="540"/>
      <c r="C13" s="540"/>
      <c r="D13" s="540"/>
      <c r="E13" s="540"/>
      <c r="F13" s="540"/>
      <c r="G13" s="540"/>
      <c r="H13" s="540"/>
      <c r="I13" s="541"/>
      <c r="J13" s="552">
        <v>-46</v>
      </c>
      <c r="K13" s="553">
        <f>(('Zip 110 (2)'!K21/(1+Korting!$B$3)*(1-Korting!$B$2)))</f>
        <v>0</v>
      </c>
      <c r="M13" t="s">
        <v>443</v>
      </c>
      <c r="N13" s="319"/>
      <c r="O13" s="319"/>
      <c r="P13" s="319"/>
      <c r="Q13" s="319"/>
      <c r="R13" s="319"/>
      <c r="S13" s="319"/>
      <c r="T13" s="319"/>
      <c r="U13" s="320"/>
      <c r="V13">
        <v>0</v>
      </c>
      <c r="X13" s="498"/>
      <c r="Y13" t="s">
        <v>415</v>
      </c>
      <c r="AF13" s="494">
        <v>0.15</v>
      </c>
    </row>
    <row r="14" spans="1:35" ht="18.95" customHeight="1">
      <c r="A14" s="542" t="s">
        <v>29</v>
      </c>
      <c r="B14" s="543"/>
      <c r="C14" s="543"/>
      <c r="D14" s="543"/>
      <c r="E14" s="543"/>
      <c r="F14" s="543"/>
      <c r="G14" s="543"/>
      <c r="H14" s="543"/>
      <c r="I14" s="544"/>
      <c r="J14" s="550">
        <f>(('Zip 110 (2)'!J22/(1+Korting!$B$3)*(1-Korting!$B$2)*Prijsmutaties!$G$9))</f>
        <v>0</v>
      </c>
      <c r="K14" s="551">
        <f>(('Zip 110 (2)'!K22/(1+Korting!$B$3)*(1-Korting!$B$2)))</f>
        <v>0</v>
      </c>
      <c r="M14" t="s">
        <v>445</v>
      </c>
      <c r="N14" s="495"/>
      <c r="O14" s="495"/>
      <c r="P14" s="495"/>
      <c r="Q14" s="495"/>
      <c r="R14" s="495"/>
      <c r="S14" s="495"/>
      <c r="T14" s="495"/>
      <c r="U14" s="496"/>
      <c r="V14" s="494">
        <v>0.15</v>
      </c>
      <c r="W14" s="494"/>
      <c r="X14" s="498"/>
      <c r="Y14" t="s">
        <v>305</v>
      </c>
      <c r="AF14">
        <v>74</v>
      </c>
    </row>
    <row r="15" spans="1:35" ht="18" customHeight="1">
      <c r="A15" s="605" t="s">
        <v>417</v>
      </c>
      <c r="B15" s="540"/>
      <c r="C15" s="540"/>
      <c r="D15" s="540"/>
      <c r="E15" s="540"/>
      <c r="F15" s="540"/>
      <c r="G15" s="540"/>
      <c r="H15" s="540"/>
      <c r="I15" s="541"/>
      <c r="J15" s="552">
        <v>16</v>
      </c>
      <c r="K15" s="553" t="e">
        <f>(('Zip 110 (2)'!#REF!/(1+Korting!$B$3)*(1-Korting!$B$2)))</f>
        <v>#REF!</v>
      </c>
      <c r="M15" t="s">
        <v>446</v>
      </c>
      <c r="N15" s="319"/>
      <c r="O15" s="319"/>
      <c r="P15" s="319"/>
      <c r="Q15" s="319"/>
      <c r="R15" s="319"/>
      <c r="S15" s="319"/>
      <c r="T15" s="319"/>
      <c r="U15" s="320"/>
      <c r="V15">
        <v>23</v>
      </c>
      <c r="X15" s="498"/>
      <c r="Y15" t="s">
        <v>464</v>
      </c>
      <c r="Z15" t="s">
        <v>418</v>
      </c>
      <c r="AF15">
        <v>-49</v>
      </c>
    </row>
    <row r="16" spans="1:35" ht="18" customHeight="1">
      <c r="A16" s="574" t="s">
        <v>416</v>
      </c>
      <c r="B16" s="543"/>
      <c r="C16" s="543"/>
      <c r="D16" s="543"/>
      <c r="E16" s="543"/>
      <c r="F16" s="543"/>
      <c r="G16" s="543"/>
      <c r="H16" s="543"/>
      <c r="I16" s="544"/>
      <c r="J16" s="550">
        <v>17.5</v>
      </c>
      <c r="K16" s="551">
        <f>(('Zip 110 (2)'!K23/(1+Korting!$B$3)*(1-Korting!$B$2)))</f>
        <v>0</v>
      </c>
      <c r="M16" t="s">
        <v>447</v>
      </c>
      <c r="N16" s="495"/>
      <c r="O16" s="495"/>
      <c r="P16" s="495"/>
      <c r="Q16" s="495"/>
      <c r="R16" s="495"/>
      <c r="S16" s="495"/>
      <c r="T16" s="495"/>
      <c r="U16" s="496"/>
      <c r="V16">
        <v>9</v>
      </c>
      <c r="X16" s="498"/>
      <c r="Y16" t="s">
        <v>465</v>
      </c>
      <c r="Z16" t="s">
        <v>418</v>
      </c>
      <c r="AF16">
        <v>821</v>
      </c>
    </row>
    <row r="17" spans="1:32" ht="18" customHeight="1">
      <c r="A17" s="539"/>
      <c r="B17" s="540"/>
      <c r="C17" s="540"/>
      <c r="D17" s="540"/>
      <c r="E17" s="540"/>
      <c r="F17" s="540"/>
      <c r="G17" s="540"/>
      <c r="H17" s="540"/>
      <c r="I17" s="541"/>
      <c r="J17" s="552"/>
      <c r="K17" s="553"/>
      <c r="M17" t="s">
        <v>448</v>
      </c>
      <c r="V17">
        <v>14</v>
      </c>
      <c r="X17" s="498"/>
      <c r="Y17" t="s">
        <v>466</v>
      </c>
      <c r="Z17" t="s">
        <v>317</v>
      </c>
      <c r="AF17">
        <v>73</v>
      </c>
    </row>
    <row r="18" spans="1:32" ht="18" customHeight="1">
      <c r="A18" s="574"/>
      <c r="B18" s="543"/>
      <c r="C18" s="543"/>
      <c r="D18" s="543"/>
      <c r="E18" s="543"/>
      <c r="F18" s="543"/>
      <c r="G18" s="543"/>
      <c r="H18" s="543"/>
      <c r="I18" s="544"/>
      <c r="J18" s="550"/>
      <c r="K18" s="551"/>
      <c r="M18" t="s">
        <v>449</v>
      </c>
      <c r="O18" t="s">
        <v>444</v>
      </c>
      <c r="V18">
        <v>18.5</v>
      </c>
      <c r="X18" s="498"/>
      <c r="Y18" t="s">
        <v>467</v>
      </c>
      <c r="Z18" t="s">
        <v>418</v>
      </c>
      <c r="AF18">
        <v>73</v>
      </c>
    </row>
    <row r="19" spans="1:32" ht="31.5" thickBot="1">
      <c r="A19" s="507" t="s">
        <v>508</v>
      </c>
      <c r="M19" t="s">
        <v>450</v>
      </c>
      <c r="O19" s="494">
        <v>0.15</v>
      </c>
      <c r="V19">
        <v>-46</v>
      </c>
      <c r="X19" s="498"/>
      <c r="Y19" t="s">
        <v>468</v>
      </c>
      <c r="Z19" t="s">
        <v>418</v>
      </c>
      <c r="AF19">
        <v>360</v>
      </c>
    </row>
    <row r="20" spans="1:32" ht="32.25" thickTop="1" thickBot="1">
      <c r="A20">
        <v>3093</v>
      </c>
      <c r="B20">
        <v>3247</v>
      </c>
      <c r="C20">
        <v>3302</v>
      </c>
      <c r="D20">
        <v>3409</v>
      </c>
      <c r="E20">
        <v>3677</v>
      </c>
      <c r="N20" s="508">
        <v>3424</v>
      </c>
      <c r="O20" s="509">
        <v>3596</v>
      </c>
      <c r="P20" s="510">
        <v>3683</v>
      </c>
      <c r="Q20" s="509">
        <v>3896</v>
      </c>
      <c r="R20" s="511">
        <v>3999</v>
      </c>
      <c r="T20">
        <v>1</v>
      </c>
      <c r="V20">
        <v>339</v>
      </c>
      <c r="X20" s="498"/>
    </row>
    <row r="21" spans="1:32" ht="31.5" thickBot="1">
      <c r="A21">
        <v>3227</v>
      </c>
      <c r="B21">
        <v>3384</v>
      </c>
      <c r="C21">
        <v>3465</v>
      </c>
      <c r="D21">
        <v>3572</v>
      </c>
      <c r="E21">
        <v>3838</v>
      </c>
      <c r="N21" s="512">
        <v>3501</v>
      </c>
      <c r="O21" s="513">
        <v>3701</v>
      </c>
      <c r="P21" s="514">
        <v>3901</v>
      </c>
      <c r="Q21" s="513">
        <v>4101</v>
      </c>
      <c r="R21" s="515">
        <v>4301</v>
      </c>
      <c r="X21" s="498"/>
    </row>
    <row r="22" spans="1:32" ht="31.5" thickBot="1">
      <c r="A22">
        <v>3361</v>
      </c>
      <c r="B22">
        <v>3522</v>
      </c>
      <c r="C22">
        <v>3626</v>
      </c>
      <c r="D22">
        <v>3733</v>
      </c>
      <c r="E22">
        <v>4022</v>
      </c>
      <c r="N22" s="512">
        <v>3710</v>
      </c>
      <c r="O22" s="513">
        <v>3904</v>
      </c>
      <c r="P22" s="514">
        <v>4106</v>
      </c>
      <c r="Q22" s="513">
        <v>4307</v>
      </c>
      <c r="R22" s="515">
        <v>4510</v>
      </c>
      <c r="X22" s="498"/>
    </row>
    <row r="23" spans="1:32" ht="31.5" thickBot="1">
      <c r="A23">
        <v>3506</v>
      </c>
      <c r="B23">
        <v>3656</v>
      </c>
      <c r="C23">
        <v>3863</v>
      </c>
      <c r="D23">
        <v>4021</v>
      </c>
      <c r="E23">
        <v>4311</v>
      </c>
      <c r="N23" s="512">
        <v>3908</v>
      </c>
      <c r="O23" s="513">
        <v>4109</v>
      </c>
      <c r="P23" s="514">
        <v>4326</v>
      </c>
      <c r="Q23" s="513">
        <v>4499</v>
      </c>
      <c r="R23" s="515">
        <v>4601</v>
      </c>
      <c r="X23" s="498"/>
    </row>
    <row r="24" spans="1:32" ht="15.75" thickBot="1">
      <c r="A24">
        <v>3653</v>
      </c>
      <c r="B24">
        <v>3790</v>
      </c>
      <c r="C24">
        <v>4098</v>
      </c>
      <c r="D24">
        <v>4310</v>
      </c>
      <c r="E24">
        <v>4621</v>
      </c>
      <c r="N24" s="512">
        <v>4183</v>
      </c>
      <c r="O24" s="513">
        <v>4363</v>
      </c>
      <c r="P24" s="514">
        <v>4554</v>
      </c>
      <c r="Q24" s="513">
        <v>4761</v>
      </c>
      <c r="R24" s="516">
        <v>4920</v>
      </c>
    </row>
    <row r="25" spans="1:32" ht="15.75" thickBot="1">
      <c r="A25">
        <v>3839</v>
      </c>
      <c r="B25">
        <v>4002</v>
      </c>
      <c r="C25">
        <v>4350</v>
      </c>
      <c r="D25">
        <v>4565</v>
      </c>
      <c r="E25">
        <v>4877</v>
      </c>
      <c r="N25" s="512">
        <v>4299</v>
      </c>
      <c r="O25" s="513">
        <v>4413</v>
      </c>
      <c r="P25" s="514">
        <v>4620</v>
      </c>
      <c r="Q25" s="517">
        <v>4829</v>
      </c>
      <c r="R25" s="516">
        <v>5055</v>
      </c>
    </row>
    <row r="26" spans="1:32" ht="15.75" thickBot="1">
      <c r="A26">
        <v>4025</v>
      </c>
      <c r="B26">
        <v>4213</v>
      </c>
      <c r="C26">
        <v>4600</v>
      </c>
      <c r="D26">
        <v>4820</v>
      </c>
      <c r="E26">
        <v>5154</v>
      </c>
      <c r="N26" s="518">
        <v>4469</v>
      </c>
      <c r="O26" s="519">
        <v>4610</v>
      </c>
      <c r="P26" s="520">
        <v>4819</v>
      </c>
      <c r="Q26" s="521">
        <v>5013</v>
      </c>
      <c r="R26" s="522">
        <v>5255</v>
      </c>
    </row>
    <row r="27" spans="1:32" ht="13.5" thickTop="1"/>
  </sheetData>
  <mergeCells count="23">
    <mergeCell ref="M1:W1"/>
    <mergeCell ref="Y2:Y10"/>
    <mergeCell ref="Z10:AF10"/>
    <mergeCell ref="Y1:AI1"/>
    <mergeCell ref="A17:I17"/>
    <mergeCell ref="J17:K17"/>
    <mergeCell ref="M2:M10"/>
    <mergeCell ref="N10:T10"/>
    <mergeCell ref="A14:I14"/>
    <mergeCell ref="J14:K14"/>
    <mergeCell ref="A1:K1"/>
    <mergeCell ref="A2:A10"/>
    <mergeCell ref="B10:H10"/>
    <mergeCell ref="A12:K12"/>
    <mergeCell ref="A13:I13"/>
    <mergeCell ref="J13:K13"/>
    <mergeCell ref="M12:W12"/>
    <mergeCell ref="A18:I18"/>
    <mergeCell ref="J18:K18"/>
    <mergeCell ref="A15:I15"/>
    <mergeCell ref="J15:K15"/>
    <mergeCell ref="A16:I16"/>
    <mergeCell ref="J16:K16"/>
  </mergeCells>
  <pageMargins left="0.70866141732283472" right="0.70866141732283472" top="0.74803149606299213" bottom="0.74803149606299213" header="0.31496062992125984" footer="0.31496062992125984"/>
  <pageSetup paperSize="9" scale="67" orientation="portrait" r:id="rId1"/>
  <headerFooter>
    <oddFooter>&amp;L&amp;D&amp;C&amp;F
Tabblad &amp;A&amp;RInkoopprijslijst excl. BTW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9E18-2411-487A-88AD-E44EEFADDD60}">
  <sheetPr codeName="Blad47">
    <tabColor theme="8" tint="0.39997558519241921"/>
    <pageSetUpPr fitToPage="1"/>
  </sheetPr>
  <dimension ref="A1:O27"/>
  <sheetViews>
    <sheetView zoomScaleNormal="100" workbookViewId="0">
      <selection sqref="A1:O1"/>
    </sheetView>
  </sheetViews>
  <sheetFormatPr defaultRowHeight="12.75"/>
  <cols>
    <col min="1" max="1" width="14.6640625" customWidth="1"/>
    <col min="2" max="2" width="7.5" customWidth="1"/>
    <col min="3" max="11" width="6.83203125" customWidth="1"/>
  </cols>
  <sheetData>
    <row r="1" spans="1:15" ht="61.5" customHeight="1">
      <c r="A1" s="803" t="s">
        <v>409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  <c r="L1" s="624"/>
      <c r="M1" s="624"/>
      <c r="N1" s="624"/>
      <c r="O1" s="624"/>
    </row>
    <row r="2" spans="1:15" ht="20.100000000000001" customHeight="1">
      <c r="A2" s="974" t="s">
        <v>411</v>
      </c>
      <c r="B2" s="479" t="s">
        <v>410</v>
      </c>
      <c r="C2" s="5">
        <v>250</v>
      </c>
      <c r="D2" s="5">
        <v>300</v>
      </c>
      <c r="E2" s="5">
        <v>350</v>
      </c>
      <c r="F2" s="5">
        <v>400</v>
      </c>
      <c r="G2" s="5">
        <v>450</v>
      </c>
      <c r="H2" s="481"/>
      <c r="I2" s="482"/>
      <c r="J2" s="482"/>
      <c r="K2" s="482"/>
    </row>
    <row r="3" spans="1:15" ht="20.100000000000001" customHeight="1">
      <c r="A3" s="974"/>
      <c r="B3" s="13">
        <v>300</v>
      </c>
      <c r="C3" s="10">
        <f>(('SunControl bron'!C3/(1+Korting!$B$3)*(1-Korting!$B$2)*Prijsmutaties!$N$9))</f>
        <v>2671.2272727272725</v>
      </c>
      <c r="D3" s="10">
        <f>(('SunControl bron'!D3/(1+Korting!$B$3)*(1-Korting!$B$2)*Prijsmutaties!$N$9))</f>
        <v>2804.2272727272725</v>
      </c>
      <c r="E3" s="10">
        <f>(('SunControl bron'!E3/(1+Korting!$B$3)*(1-Korting!$B$2)*Prijsmutaties!$N$9))</f>
        <v>2851.7272727272725</v>
      </c>
      <c r="F3" s="10">
        <f>(('SunControl bron'!F3/(1+Korting!$B$3)*(1-Korting!$B$2)*Prijsmutaties!$N$9))</f>
        <v>2944.1363636363635</v>
      </c>
      <c r="G3" s="10">
        <f>(('SunControl bron'!G3/(1+Korting!$B$3)*(1-Korting!$B$2)*Prijsmutaties!$N$9))</f>
        <v>3175.590909090909</v>
      </c>
      <c r="H3" s="458"/>
      <c r="I3" s="176"/>
      <c r="J3" s="176"/>
      <c r="K3" s="176"/>
    </row>
    <row r="4" spans="1:15" ht="20.100000000000001" customHeight="1">
      <c r="A4" s="974"/>
      <c r="B4" s="5">
        <v>350</v>
      </c>
      <c r="C4" s="459">
        <f>(('SunControl bron'!C4/(1+Korting!$B$3)*(1-Korting!$B$2)*Prijsmutaties!$N$9))</f>
        <v>2786.954545454545</v>
      </c>
      <c r="D4" s="459">
        <f>(('SunControl bron'!D4/(1+Korting!$B$3)*(1-Korting!$B$2)*Prijsmutaties!$N$9))</f>
        <v>2922.545454545454</v>
      </c>
      <c r="E4" s="459">
        <f>(('SunControl bron'!E4/(1+Korting!$B$3)*(1-Korting!$B$2)*Prijsmutaties!$N$9))</f>
        <v>2992.4999999999995</v>
      </c>
      <c r="F4" s="459">
        <f>(('SunControl bron'!F4/(1+Korting!$B$3)*(1-Korting!$B$2)*Prijsmutaties!$N$9))</f>
        <v>3084.9090909090905</v>
      </c>
      <c r="G4" s="459">
        <f>(('SunControl bron'!G4/(1+Korting!$B$3)*(1-Korting!$B$2)*Prijsmutaties!$N$9))</f>
        <v>3314.6363636363635</v>
      </c>
      <c r="H4" s="458"/>
      <c r="I4" s="176"/>
      <c r="J4" s="176"/>
      <c r="K4" s="176"/>
    </row>
    <row r="5" spans="1:15" ht="20.100000000000001" customHeight="1">
      <c r="A5" s="974"/>
      <c r="B5" s="13">
        <v>400</v>
      </c>
      <c r="C5" s="10">
        <f>(('SunControl bron'!C5/(1+Korting!$B$3)*(1-Korting!$B$2)*Prijsmutaties!$N$9))</f>
        <v>2902.6818181818176</v>
      </c>
      <c r="D5" s="10">
        <f>(('SunControl bron'!D5/(1+Korting!$B$3)*(1-Korting!$B$2)*Prijsmutaties!$N$9))</f>
        <v>3041.7272727272725</v>
      </c>
      <c r="E5" s="10">
        <f>(('SunControl bron'!E5/(1+Korting!$B$3)*(1-Korting!$B$2)*Prijsmutaties!$N$9))</f>
        <v>3131.545454545454</v>
      </c>
      <c r="F5" s="10">
        <f>(('SunControl bron'!F5/(1+Korting!$B$3)*(1-Korting!$B$2)*Prijsmutaties!$N$9))</f>
        <v>3223.954545454545</v>
      </c>
      <c r="G5" s="10">
        <f>(('SunControl bron'!G5/(1+Korting!$B$3)*(1-Korting!$B$2)*Prijsmutaties!$N$9))</f>
        <v>3473.545454545454</v>
      </c>
      <c r="H5" s="458"/>
      <c r="I5" s="176"/>
      <c r="J5" s="176"/>
      <c r="K5" s="176"/>
    </row>
    <row r="6" spans="1:15" ht="18.95" customHeight="1">
      <c r="A6" s="974"/>
      <c r="B6" s="5">
        <v>450</v>
      </c>
      <c r="C6" s="459">
        <f>(('SunControl bron'!C6/(1+Korting!$B$3)*(1-Korting!$B$2)*Prijsmutaties!$N$9))</f>
        <v>3027.9090909090905</v>
      </c>
      <c r="D6" s="459">
        <f>(('SunControl bron'!D6/(1+Korting!$B$3)*(1-Korting!$B$2)*Prijsmutaties!$N$9))</f>
        <v>3157.4545454545455</v>
      </c>
      <c r="E6" s="459">
        <f>(('SunControl bron'!E6/(1+Korting!$B$3)*(1-Korting!$B$2)*Prijsmutaties!$N$9))</f>
        <v>3336.2272727272725</v>
      </c>
      <c r="F6" s="459">
        <f>(('SunControl bron'!F6/(1+Korting!$B$3)*(1-Korting!$B$2)*Prijsmutaties!$N$9))</f>
        <v>3472.6818181818176</v>
      </c>
      <c r="G6" s="459">
        <f>(('SunControl bron'!G6/(1+Korting!$B$3)*(1-Korting!$B$2)*Prijsmutaties!$N$9))</f>
        <v>3723.1363636363631</v>
      </c>
      <c r="H6" s="458"/>
      <c r="I6" s="176"/>
      <c r="J6" s="176"/>
      <c r="K6" s="176"/>
    </row>
    <row r="7" spans="1:15" ht="18.95" customHeight="1">
      <c r="A7" s="974"/>
      <c r="B7" s="13">
        <v>500</v>
      </c>
      <c r="C7" s="10">
        <f>(('SunControl bron'!C7/(1+Korting!$B$3)*(1-Korting!$B$2)*Prijsmutaties!$N$9))</f>
        <v>3154.863636363636</v>
      </c>
      <c r="D7" s="10">
        <f>(('SunControl bron'!D7/(1+Korting!$B$3)*(1-Korting!$B$2)*Prijsmutaties!$N$9))</f>
        <v>3273.1818181818176</v>
      </c>
      <c r="E7" s="10">
        <f>(('SunControl bron'!E7/(1+Korting!$B$3)*(1-Korting!$B$2)*Prijsmutaties!$N$9))</f>
        <v>3539.181818181818</v>
      </c>
      <c r="F7" s="10">
        <f>(('SunControl bron'!F7/(1+Korting!$B$3)*(1-Korting!$B$2)*Prijsmutaties!$N$9))</f>
        <v>3722.272727272727</v>
      </c>
      <c r="G7" s="10">
        <f>(('SunControl bron'!G7/(1+Korting!$B$3)*(1-Korting!$B$2)*Prijsmutaties!$N$9))</f>
        <v>3990.8636363636365</v>
      </c>
      <c r="H7" s="458"/>
      <c r="I7" s="176"/>
      <c r="J7" s="176"/>
      <c r="K7" s="176"/>
    </row>
    <row r="8" spans="1:15" ht="20.100000000000001" customHeight="1">
      <c r="A8" s="974"/>
      <c r="B8" s="5">
        <v>550</v>
      </c>
      <c r="C8" s="459">
        <f>(('SunControl bron'!C8/(1+Korting!$B$3)*(1-Korting!$B$2)*Prijsmutaties!$N$9))</f>
        <v>3315.4999999999995</v>
      </c>
      <c r="D8" s="459">
        <f>(('SunControl bron'!D8/(1+Korting!$B$3)*(1-Korting!$B$2)*Prijsmutaties!$N$9))</f>
        <v>3456.2727272727266</v>
      </c>
      <c r="E8" s="459">
        <f>(('SunControl bron'!E8/(1+Korting!$B$3)*(1-Korting!$B$2)*Prijsmutaties!$N$9))</f>
        <v>3756.8181818181815</v>
      </c>
      <c r="F8" s="459">
        <f>(('SunControl bron'!F8/(1+Korting!$B$3)*(1-Korting!$B$2)*Prijsmutaties!$N$9))</f>
        <v>3942.4999999999995</v>
      </c>
      <c r="G8" s="459">
        <f>(('SunControl bron'!G8/(1+Korting!$B$3)*(1-Korting!$B$2)*Prijsmutaties!$N$9))</f>
        <v>4211.9545454545441</v>
      </c>
      <c r="H8" s="458"/>
      <c r="I8" s="176"/>
      <c r="J8" s="176"/>
      <c r="K8" s="176"/>
    </row>
    <row r="9" spans="1:15" ht="19.5" customHeight="1">
      <c r="A9" s="974"/>
      <c r="B9" s="13">
        <v>600</v>
      </c>
      <c r="C9" s="10">
        <f>(('SunControl bron'!C9/(1+Korting!$B$3)*(1-Korting!$B$2)*Prijsmutaties!$N$9))</f>
        <v>3476.1363636363635</v>
      </c>
      <c r="D9" s="10">
        <f>(('SunControl bron'!D9/(1+Korting!$B$3)*(1-Korting!$B$2)*Prijsmutaties!$N$9))</f>
        <v>3638.5</v>
      </c>
      <c r="E9" s="10">
        <f>(('SunControl bron'!E9/(1+Korting!$B$3)*(1-Korting!$B$2)*Prijsmutaties!$N$9))</f>
        <v>3972.7272727272721</v>
      </c>
      <c r="F9" s="10">
        <f>(('SunControl bron'!F9/(1+Korting!$B$3)*(1-Korting!$B$2)*Prijsmutaties!$N$9))</f>
        <v>4162.7272727272721</v>
      </c>
      <c r="G9" s="10">
        <f>(('SunControl bron'!G9/(1+Korting!$B$3)*(1-Korting!$B$2)*Prijsmutaties!$N$9))</f>
        <v>4451.1818181818171</v>
      </c>
      <c r="H9" s="458"/>
      <c r="I9" s="176"/>
      <c r="J9" s="176"/>
      <c r="K9" s="176"/>
    </row>
    <row r="10" spans="1:15" ht="19.5" customHeight="1">
      <c r="A10" s="486"/>
      <c r="B10" s="487"/>
      <c r="C10" s="488"/>
      <c r="D10" s="488"/>
      <c r="E10" s="488"/>
      <c r="F10" s="478"/>
      <c r="G10" s="478"/>
      <c r="H10" s="458"/>
      <c r="I10" s="176"/>
      <c r="J10" s="176"/>
      <c r="K10" s="176"/>
    </row>
    <row r="11" spans="1:15" ht="19.5" customHeight="1">
      <c r="A11" s="483" t="s">
        <v>413</v>
      </c>
      <c r="B11" s="484">
        <v>6</v>
      </c>
      <c r="C11" s="484">
        <v>6</v>
      </c>
      <c r="D11" s="484">
        <v>6</v>
      </c>
      <c r="E11" s="484">
        <v>6</v>
      </c>
      <c r="F11" s="485">
        <v>8</v>
      </c>
      <c r="G11" s="485">
        <v>8</v>
      </c>
      <c r="H11" s="458"/>
      <c r="I11" s="176"/>
      <c r="J11" s="176"/>
      <c r="K11" s="176"/>
    </row>
    <row r="12" spans="1:15" ht="20.8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5" ht="16.5" customHeight="1">
      <c r="A13" s="972" t="s">
        <v>7</v>
      </c>
      <c r="B13" s="973"/>
      <c r="C13" s="973"/>
      <c r="D13" s="973"/>
      <c r="E13" s="973"/>
      <c r="F13" s="973"/>
      <c r="G13" s="973"/>
      <c r="H13" s="973"/>
      <c r="I13" s="973"/>
      <c r="J13" s="973"/>
      <c r="K13" s="973"/>
    </row>
    <row r="14" spans="1:15" ht="18" customHeight="1">
      <c r="A14" s="605" t="s">
        <v>414</v>
      </c>
      <c r="B14" s="619"/>
      <c r="C14" s="619"/>
      <c r="D14" s="619"/>
      <c r="E14" s="619"/>
      <c r="F14" s="619"/>
      <c r="G14" s="619"/>
      <c r="H14" s="832"/>
      <c r="I14" s="825"/>
      <c r="J14" s="552">
        <f>(('SunControl bron'!J13/(1+Korting!$B$3)*(1-Korting!$B$2)*Prijsmutaties!$G$9))</f>
        <v>-41.462119008264459</v>
      </c>
      <c r="K14" s="553">
        <f>(('Zip 110 (2)'!K21/(1+Korting!$B$3)*(1-Korting!$B$2)))</f>
        <v>0</v>
      </c>
    </row>
    <row r="15" spans="1:15" ht="18.95" customHeight="1">
      <c r="A15" s="574" t="s">
        <v>415</v>
      </c>
      <c r="B15" s="969"/>
      <c r="C15" s="969"/>
      <c r="D15" s="969"/>
      <c r="E15" s="969"/>
      <c r="F15" s="969"/>
      <c r="G15" s="969"/>
      <c r="H15" s="830"/>
      <c r="I15" s="831"/>
      <c r="J15" s="970">
        <v>0.15</v>
      </c>
      <c r="K15" s="971">
        <f>(('Zip 110 (2)'!K22/(1+Korting!$B$3)*(1-Korting!$B$2)))</f>
        <v>0</v>
      </c>
    </row>
    <row r="16" spans="1:15" ht="18" customHeight="1">
      <c r="A16" s="605" t="s">
        <v>417</v>
      </c>
      <c r="B16" s="619"/>
      <c r="C16" s="619"/>
      <c r="D16" s="619"/>
      <c r="E16" s="619"/>
      <c r="F16" s="619"/>
      <c r="G16" s="619"/>
      <c r="H16" s="832" t="s">
        <v>418</v>
      </c>
      <c r="I16" s="825"/>
      <c r="J16" s="552">
        <f>(('SunControl bron'!J15/(1+Korting!$B$3)*(1-Korting!$B$2)*Prijsmutaties!$G$9))</f>
        <v>14.421606611570247</v>
      </c>
      <c r="K16" s="553" t="e">
        <f>(('Zip 110 (2)'!#REF!/(1+Korting!$B$3)*(1-Korting!$B$2)))</f>
        <v>#REF!</v>
      </c>
    </row>
    <row r="17" spans="1:11" ht="18" customHeight="1">
      <c r="A17" s="574" t="s">
        <v>416</v>
      </c>
      <c r="B17" s="969"/>
      <c r="C17" s="969"/>
      <c r="D17" s="969"/>
      <c r="E17" s="969"/>
      <c r="F17" s="969"/>
      <c r="G17" s="969"/>
      <c r="H17" s="830" t="s">
        <v>418</v>
      </c>
      <c r="I17" s="831"/>
      <c r="J17" s="550">
        <f>(('SunControl bron'!J16/(1+Korting!$B$3)*(1-Korting!$B$2)*Prijsmutaties!$G$9))</f>
        <v>15.773632231404957</v>
      </c>
      <c r="K17" s="551">
        <f>(('Zip 110 (2)'!K23/(1+Korting!$B$3)*(1-Korting!$B$2)))</f>
        <v>0</v>
      </c>
    </row>
    <row r="19" spans="1:11" ht="17.25" customHeight="1">
      <c r="A19" s="960" t="s">
        <v>49</v>
      </c>
      <c r="B19" s="961"/>
      <c r="C19" s="961"/>
      <c r="D19" s="961"/>
      <c r="E19" s="961"/>
      <c r="F19" s="961"/>
      <c r="G19" s="961"/>
      <c r="H19" s="961"/>
      <c r="I19" s="961"/>
      <c r="J19" s="961"/>
      <c r="K19" s="961"/>
    </row>
    <row r="20" spans="1:11" ht="16.5" customHeight="1">
      <c r="A20" s="892" t="s">
        <v>377</v>
      </c>
      <c r="B20" s="893"/>
      <c r="C20" s="893"/>
      <c r="D20" s="893"/>
      <c r="E20" s="893"/>
      <c r="F20" s="893"/>
      <c r="G20" s="893"/>
      <c r="H20" s="893"/>
      <c r="I20" s="894"/>
      <c r="J20" s="963">
        <f>(('Opties Uitval (2)'!G28/(1+Korting!$B$3)*(1-Korting!$B$2)*Prijsmutaties!$G$9))</f>
        <v>32.448614876033055</v>
      </c>
      <c r="K20" s="964"/>
    </row>
    <row r="21" spans="1:11" ht="16.5" customHeight="1">
      <c r="A21" s="877" t="s">
        <v>378</v>
      </c>
      <c r="B21" s="965"/>
      <c r="C21" s="965"/>
      <c r="D21" s="965"/>
      <c r="E21" s="965"/>
      <c r="F21" s="965"/>
      <c r="G21" s="965"/>
      <c r="H21" s="965"/>
      <c r="I21" s="966"/>
      <c r="J21" s="967">
        <f>(('Opties Uitval (2)'!G29/(1+Korting!$B$3)*(1-Korting!$B$2)*Prijsmutaties!$G$9))</f>
        <v>44.616845454545455</v>
      </c>
      <c r="K21" s="968"/>
    </row>
    <row r="22" spans="1:11" ht="16.5" customHeight="1">
      <c r="A22" s="892" t="s">
        <v>379</v>
      </c>
      <c r="B22" s="893"/>
      <c r="C22" s="893"/>
      <c r="D22" s="893"/>
      <c r="E22" s="893"/>
      <c r="F22" s="893"/>
      <c r="G22" s="893"/>
      <c r="H22" s="893"/>
      <c r="I22" s="894"/>
      <c r="J22" s="963">
        <f>(('Opties Uitval (2)'!G30/(1+Korting!$B$3)*(1-Korting!$B$2)*Prijsmutaties!$G$9))</f>
        <v>80.220186776859492</v>
      </c>
      <c r="K22" s="964"/>
    </row>
    <row r="23" spans="1:11">
      <c r="A23" s="2"/>
      <c r="B23" s="2"/>
    </row>
    <row r="24" spans="1:11" ht="16.5" customHeight="1">
      <c r="A24" s="960" t="s">
        <v>56</v>
      </c>
      <c r="B24" s="961"/>
      <c r="C24" s="961"/>
      <c r="D24" s="961"/>
      <c r="E24" s="961"/>
      <c r="F24" s="961"/>
      <c r="G24" s="961"/>
      <c r="H24" s="961"/>
      <c r="I24" s="961"/>
      <c r="J24" s="961"/>
      <c r="K24" s="961"/>
    </row>
    <row r="25" spans="1:11" ht="16.5" customHeight="1">
      <c r="A25" s="892" t="s">
        <v>377</v>
      </c>
      <c r="B25" s="893"/>
      <c r="C25" s="893"/>
      <c r="D25" s="893"/>
      <c r="E25" s="893"/>
      <c r="F25" s="893"/>
      <c r="G25" s="893"/>
      <c r="H25" s="893"/>
      <c r="I25" s="894"/>
      <c r="J25" s="963">
        <f>(('Opties Uitval (2)'!G33/(1+Korting!$B$3)*(1-Korting!$B$2)*Prijsmutaties!$G$9))</f>
        <v>24.336461157024793</v>
      </c>
      <c r="K25" s="964"/>
    </row>
    <row r="26" spans="1:11" ht="16.5" customHeight="1">
      <c r="A26" s="877" t="s">
        <v>378</v>
      </c>
      <c r="B26" s="965"/>
      <c r="C26" s="965"/>
      <c r="D26" s="965"/>
      <c r="E26" s="965"/>
      <c r="F26" s="965"/>
      <c r="G26" s="965"/>
      <c r="H26" s="965"/>
      <c r="I26" s="966"/>
      <c r="J26" s="967">
        <f>(('Opties Uitval (2)'!G34/(1+Korting!$B$3)*(1-Korting!$B$2)*Prijsmutaties!$G$9))</f>
        <v>32.448614876033055</v>
      </c>
      <c r="K26" s="968"/>
    </row>
    <row r="27" spans="1:11" ht="16.5" customHeight="1">
      <c r="A27" s="892" t="s">
        <v>379</v>
      </c>
      <c r="B27" s="893"/>
      <c r="C27" s="893"/>
      <c r="D27" s="893"/>
      <c r="E27" s="893"/>
      <c r="F27" s="893"/>
      <c r="G27" s="893"/>
      <c r="H27" s="893"/>
      <c r="I27" s="894"/>
      <c r="J27" s="963">
        <f>(('Opties Uitval (2)'!G35/(1+Korting!$B$3)*(1-Korting!$B$2)*Prijsmutaties!$G$9))</f>
        <v>48.672922314049586</v>
      </c>
      <c r="K27" s="964"/>
    </row>
  </sheetData>
  <sheetProtection algorithmName="SHA-512" hashValue="IYNjMTOpcLd2/s5DfAFhXQ5Q1PZcxn4iEkR3Gg823N8qvzufEIJq0FlUyFLzkPONYKcOfL2BNU+hlBV78o+exw==" saltValue="+LtKGEA+eG8SDIJQN6eJsA==" spinCount="100000" sheet="1" objects="1" scenarios="1"/>
  <mergeCells count="29">
    <mergeCell ref="A1:O1"/>
    <mergeCell ref="A13:K13"/>
    <mergeCell ref="J14:K14"/>
    <mergeCell ref="A2:A9"/>
    <mergeCell ref="H14:I14"/>
    <mergeCell ref="A14:G14"/>
    <mergeCell ref="A15:G15"/>
    <mergeCell ref="A16:G16"/>
    <mergeCell ref="A17:G17"/>
    <mergeCell ref="A22:I22"/>
    <mergeCell ref="A19:K19"/>
    <mergeCell ref="A20:I20"/>
    <mergeCell ref="J20:K20"/>
    <mergeCell ref="A21:I21"/>
    <mergeCell ref="J21:K21"/>
    <mergeCell ref="J15:K15"/>
    <mergeCell ref="J16:K16"/>
    <mergeCell ref="J17:K17"/>
    <mergeCell ref="H16:I16"/>
    <mergeCell ref="H15:I15"/>
    <mergeCell ref="H17:I17"/>
    <mergeCell ref="A27:I27"/>
    <mergeCell ref="J27:K27"/>
    <mergeCell ref="J22:K22"/>
    <mergeCell ref="A24:K24"/>
    <mergeCell ref="A25:I25"/>
    <mergeCell ref="J25:K25"/>
    <mergeCell ref="A26:I26"/>
    <mergeCell ref="J26:K26"/>
  </mergeCells>
  <pageMargins left="0.70866141732283472" right="0.70866141732283472" top="0.74803149606299213" bottom="0.74803149606299213" header="0.31496062992125984" footer="0.31496062992125984"/>
  <pageSetup paperSize="9" scale="67" orientation="portrait" r:id="rId1"/>
  <headerFooter>
    <oddFooter>&amp;L&amp;D&amp;C&amp;F
Tabblad &amp;A&amp;RInkoopprijslijst excl. BTW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90B6-203C-43DB-BCF6-D79DE31E76C8}">
  <sheetPr codeName="Blad48">
    <tabColor theme="8" tint="0.39997558519241921"/>
    <pageSetUpPr fitToPage="1"/>
  </sheetPr>
  <dimension ref="A1:AF37"/>
  <sheetViews>
    <sheetView zoomScaleNormal="100" workbookViewId="0">
      <selection sqref="A1:O1"/>
    </sheetView>
  </sheetViews>
  <sheetFormatPr defaultRowHeight="12.75"/>
  <cols>
    <col min="1" max="1" width="14.6640625" customWidth="1"/>
    <col min="2" max="2" width="7.5" customWidth="1"/>
    <col min="3" max="11" width="6.83203125" customWidth="1"/>
    <col min="18" max="24" width="10.6640625" customWidth="1"/>
  </cols>
  <sheetData>
    <row r="1" spans="1:32" ht="61.5" customHeight="1">
      <c r="A1" s="803" t="s">
        <v>420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  <c r="L1" s="624"/>
      <c r="M1" s="624"/>
      <c r="N1" s="624"/>
      <c r="O1" s="624"/>
      <c r="R1" s="803" t="s">
        <v>456</v>
      </c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</row>
    <row r="2" spans="1:32" ht="20.100000000000001" customHeight="1">
      <c r="A2" s="974" t="s">
        <v>411</v>
      </c>
      <c r="B2" s="479" t="s">
        <v>410</v>
      </c>
      <c r="C2" s="5">
        <v>250</v>
      </c>
      <c r="D2" s="5">
        <v>300</v>
      </c>
      <c r="E2" s="5">
        <v>350</v>
      </c>
      <c r="F2" s="5">
        <v>400</v>
      </c>
      <c r="G2" s="5">
        <v>450</v>
      </c>
      <c r="H2" s="481"/>
      <c r="I2" s="482"/>
      <c r="J2" s="482"/>
      <c r="K2" s="482"/>
      <c r="R2" s="974" t="s">
        <v>411</v>
      </c>
      <c r="S2" s="479" t="s">
        <v>410</v>
      </c>
      <c r="T2" s="5">
        <v>250</v>
      </c>
      <c r="U2" s="5">
        <v>300</v>
      </c>
      <c r="V2" s="5">
        <v>350</v>
      </c>
      <c r="W2" s="5">
        <v>400</v>
      </c>
      <c r="X2" s="5">
        <v>450</v>
      </c>
    </row>
    <row r="3" spans="1:32" ht="20.100000000000001" customHeight="1">
      <c r="A3" s="974"/>
      <c r="B3" s="13">
        <v>300</v>
      </c>
      <c r="C3" s="10">
        <f>(('SunControl bron'!O3/(1+Korting!$B$3)*(1-Korting!$B$2)*Prijsmutaties!$B$9))</f>
        <v>2956.1212975917761</v>
      </c>
      <c r="D3" s="10">
        <f>(('SunControl bron'!P3/(1+Korting!$B$3)*(1-Korting!$B$2)*Prijsmutaties!$B$9))</f>
        <v>3104.6180450175311</v>
      </c>
      <c r="E3" s="10">
        <f>(('SunControl bron'!Q3/(1+Korting!$B$3)*(1-Korting!$B$2)*Prijsmutaties!$B$9))</f>
        <v>3179.729771913117</v>
      </c>
      <c r="F3" s="10">
        <f>(('SunControl bron'!R3/(1+Korting!$B$3)*(1-Korting!$B$2)*Prijsmutaties!$B$9))</f>
        <v>3363.6239998298952</v>
      </c>
      <c r="G3" s="10">
        <f>(('SunControl bron'!S3/(1+Korting!$B$3)*(1-Korting!$B$2)*Prijsmutaties!$B$9))</f>
        <v>3452.5493776488061</v>
      </c>
      <c r="H3" s="458"/>
      <c r="I3" s="176"/>
      <c r="J3" s="176"/>
      <c r="K3" s="176"/>
      <c r="R3" s="974"/>
      <c r="S3" s="13">
        <v>300</v>
      </c>
      <c r="T3" s="10">
        <f>(('SunControl bron'!AA3/(1+Korting!$B$3)*(1-Korting!$B$2)*Prijsmutaties!$O$9))</f>
        <v>4785.9751181818174</v>
      </c>
      <c r="U3" s="10">
        <f>(('SunControl bron'!AB3/(1+Korting!$B$3)*(1-Korting!$B$2)*Prijsmutaties!$O$9))</f>
        <v>4935.2591545454534</v>
      </c>
      <c r="V3" s="10">
        <f>(('SunControl bron'!AC3/(1+Korting!$B$3)*(1-Korting!$B$2)*Prijsmutaties!$O$9))</f>
        <v>5083.6545954545445</v>
      </c>
      <c r="W3" s="10">
        <f>(('SunControl bron'!AD3/(1+Korting!$B$3)*(1-Korting!$B$2)*Prijsmutaties!$O$9))</f>
        <v>5229.3842499999992</v>
      </c>
      <c r="X3" s="10">
        <f>(('SunControl bron'!AE3/(1+Korting!$B$3)*(1-Korting!$B$2)*Prijsmutaties!$O$9))</f>
        <v>5380.4454772727258</v>
      </c>
    </row>
    <row r="4" spans="1:32" ht="20.100000000000001" customHeight="1">
      <c r="A4" s="974"/>
      <c r="B4" s="5">
        <v>350</v>
      </c>
      <c r="C4" s="459">
        <f>(('SunControl bron'!O4/(1+Korting!$B$3)*(1-Korting!$B$2)*Prijsmutaties!$B$9))</f>
        <v>3022.5994926602825</v>
      </c>
      <c r="D4" s="459">
        <f>(('SunControl bron'!P4/(1+Korting!$B$3)*(1-Korting!$B$2)*Prijsmutaties!$B$9))</f>
        <v>3195.2701292018587</v>
      </c>
      <c r="E4" s="459">
        <f>(('SunControl bron'!Q4/(1+Korting!$B$3)*(1-Korting!$B$2)*Prijsmutaties!$B$9))</f>
        <v>3367.9407657434344</v>
      </c>
      <c r="F4" s="459">
        <f>(('SunControl bron'!R4/(1+Korting!$B$3)*(1-Korting!$B$2)*Prijsmutaties!$B$9))</f>
        <v>3540.6114022850102</v>
      </c>
      <c r="G4" s="459">
        <f>(('SunControl bron'!S4/(1+Korting!$B$3)*(1-Korting!$B$2)*Prijsmutaties!$B$9))</f>
        <v>3713.2820388265859</v>
      </c>
      <c r="H4" s="458"/>
      <c r="I4" s="176"/>
      <c r="J4" s="176"/>
      <c r="K4" s="176"/>
      <c r="R4" s="974"/>
      <c r="S4" s="5">
        <v>350</v>
      </c>
      <c r="T4" s="10">
        <f>(('SunControl bron'!AA4/(1+Korting!$B$3)*(1-Korting!$B$2)*Prijsmutaties!$O$9))</f>
        <v>4955.6968499999984</v>
      </c>
      <c r="U4" s="10">
        <f>(('SunControl bron'!AB4/(1+Korting!$B$3)*(1-Korting!$B$2)*Prijsmutaties!$O$9))</f>
        <v>5103.2036954545447</v>
      </c>
      <c r="V4" s="10">
        <f>(('SunControl bron'!AC4/(1+Korting!$B$3)*(1-Korting!$B$2)*Prijsmutaties!$O$9))</f>
        <v>5249.8219454545451</v>
      </c>
      <c r="W4" s="10">
        <f>(('SunControl bron'!AD4/(1+Korting!$B$3)*(1-Korting!$B$2)*Prijsmutaties!$O$9))</f>
        <v>5402.6603636363634</v>
      </c>
      <c r="X4" s="10">
        <f>(('SunControl bron'!AE4/(1+Korting!$B$3)*(1-Korting!$B$2)*Prijsmutaties!$O$9))</f>
        <v>5551.0558045454536</v>
      </c>
    </row>
    <row r="5" spans="1:32" ht="20.100000000000001" customHeight="1">
      <c r="A5" s="974"/>
      <c r="B5" s="13">
        <v>400</v>
      </c>
      <c r="C5" s="10">
        <f>(('SunControl bron'!O5/(1+Korting!$B$3)*(1-Korting!$B$2)*Prijsmutaties!$B$9))</f>
        <v>3203.0403078462296</v>
      </c>
      <c r="D5" s="10">
        <f>(('SunControl bron'!P5/(1+Korting!$B$3)*(1-Korting!$B$2)*Prijsmutaties!$B$9))</f>
        <v>3370.5308252915579</v>
      </c>
      <c r="E5" s="10">
        <f>(('SunControl bron'!Q5/(1+Korting!$B$3)*(1-Korting!$B$2)*Prijsmutaties!$B$9))</f>
        <v>3544.9281681985494</v>
      </c>
      <c r="F5" s="10">
        <f>(('SunControl bron'!R5/(1+Korting!$B$3)*(1-Korting!$B$2)*Prijsmutaties!$B$9))</f>
        <v>3718.4621579228328</v>
      </c>
      <c r="G5" s="10">
        <f>(('SunControl bron'!S5/(1+Korting!$B$3)*(1-Korting!$B$2)*Prijsmutaties!$B$9))</f>
        <v>3893.722854012532</v>
      </c>
      <c r="H5" s="458"/>
      <c r="I5" s="176"/>
      <c r="J5" s="176"/>
      <c r="K5" s="176"/>
      <c r="R5" s="974"/>
      <c r="S5" s="13">
        <v>400</v>
      </c>
      <c r="T5" s="10">
        <f>(('SunControl bron'!AA5/(1+Korting!$B$3)*(1-Korting!$B$2)*Prijsmutaties!$O$9))</f>
        <v>5234.7158227272721</v>
      </c>
      <c r="U5" s="10">
        <f>(('SunControl bron'!AB5/(1+Korting!$B$3)*(1-Korting!$B$2)*Prijsmutaties!$O$9))</f>
        <v>5405.326149999999</v>
      </c>
      <c r="V5" s="10">
        <f>(('SunControl bron'!AC5/(1+Korting!$B$3)*(1-Korting!$B$2)*Prijsmutaties!$O$9))</f>
        <v>5570.6049045454529</v>
      </c>
      <c r="W5" s="10">
        <f>(('SunControl bron'!AD5/(1+Korting!$B$3)*(1-Korting!$B$2)*Prijsmutaties!$O$9))</f>
        <v>5739.43804090909</v>
      </c>
      <c r="X5" s="10">
        <f>(('SunControl bron'!AE5/(1+Korting!$B$3)*(1-Korting!$B$2)*Prijsmutaties!$O$9))</f>
        <v>5905.6053909090897</v>
      </c>
    </row>
    <row r="6" spans="1:32" ht="18.95" customHeight="1">
      <c r="A6" s="974"/>
      <c r="B6" s="5">
        <v>450</v>
      </c>
      <c r="C6" s="459">
        <f>(('SunControl bron'!O6/(1+Korting!$B$3)*(1-Korting!$B$2)*Prijsmutaties!$B$9))</f>
        <v>3373.9842380223895</v>
      </c>
      <c r="D6" s="459">
        <f>(('SunControl bron'!P6/(1+Korting!$B$3)*(1-Korting!$B$2)*Prijsmutaties!$B$9))</f>
        <v>3547.5182277466729</v>
      </c>
      <c r="E6" s="459">
        <f>(('SunControl bron'!Q6/(1+Korting!$B$3)*(1-Korting!$B$2)*Prijsmutaties!$B$9))</f>
        <v>3734.8658683942831</v>
      </c>
      <c r="F6" s="459">
        <f>(('SunControl bron'!R6/(1+Korting!$B$3)*(1-Korting!$B$2)*Prijsmutaties!$B$9))</f>
        <v>3884.2259690027458</v>
      </c>
      <c r="G6" s="459">
        <f>(('SunControl bron'!S6/(1+Korting!$B$3)*(1-Korting!$B$2)*Prijsmutaties!$B$9))</f>
        <v>3972.2879936389495</v>
      </c>
      <c r="H6" s="458"/>
      <c r="I6" s="176"/>
      <c r="J6" s="176"/>
      <c r="K6" s="176"/>
      <c r="R6" s="974"/>
      <c r="S6" s="5">
        <v>450</v>
      </c>
      <c r="T6" s="10">
        <f>(('SunControl bron'!AA6/(1+Korting!$B$3)*(1-Korting!$B$2)*Prijsmutaties!$O$9))</f>
        <v>5402.6603636363634</v>
      </c>
      <c r="U6" s="10">
        <f>(('SunControl bron'!AB6/(1+Korting!$B$3)*(1-Korting!$B$2)*Prijsmutaties!$O$9))</f>
        <v>5570.6049045454529</v>
      </c>
      <c r="V6" s="10">
        <f>(('SunControl bron'!AC6/(1+Korting!$B$3)*(1-Korting!$B$2)*Prijsmutaties!$O$9))</f>
        <v>5737.6608499999993</v>
      </c>
      <c r="W6" s="10">
        <f>(('SunControl bron'!AD6/(1+Korting!$B$3)*(1-Korting!$B$2)*Prijsmutaties!$O$9))</f>
        <v>5905.6053909090897</v>
      </c>
      <c r="X6" s="10">
        <f>(('SunControl bron'!AE6/(1+Korting!$B$3)*(1-Korting!$B$2)*Prijsmutaties!$O$9))</f>
        <v>6068.2183590909081</v>
      </c>
    </row>
    <row r="7" spans="1:32" ht="18.95" customHeight="1">
      <c r="A7" s="974"/>
      <c r="B7" s="13">
        <v>500</v>
      </c>
      <c r="C7" s="10">
        <f>(('SunControl bron'!O7/(1+Korting!$B$3)*(1-Korting!$B$2)*Prijsmutaties!$B$9))</f>
        <v>3611.4063632670559</v>
      </c>
      <c r="D7" s="10">
        <f>(('SunControl bron'!P7/(1+Korting!$B$3)*(1-Korting!$B$2)*Prijsmutaties!$B$9))</f>
        <v>3766.8099361544741</v>
      </c>
      <c r="E7" s="10">
        <f>(('SunControl bron'!Q7/(1+Korting!$B$3)*(1-Korting!$B$2)*Prijsmutaties!$B$9))</f>
        <v>3931.710394051679</v>
      </c>
      <c r="F7" s="10">
        <f>(('SunControl bron'!R7/(1+Korting!$B$3)*(1-Korting!$B$2)*Prijsmutaties!$B$9))</f>
        <v>4110.4245028722098</v>
      </c>
      <c r="G7" s="10">
        <f>(('SunControl bron'!S7/(1+Korting!$B$3)*(1-Korting!$B$2)*Prijsmutaties!$B$9))</f>
        <v>4247.6976589227625</v>
      </c>
      <c r="H7" s="458"/>
      <c r="I7" s="176"/>
      <c r="J7" s="176"/>
      <c r="K7" s="176"/>
      <c r="R7" s="974"/>
      <c r="S7" s="13">
        <v>500</v>
      </c>
      <c r="T7" s="10">
        <f>(('SunControl bron'!AA7/(1+Korting!$B$3)*(1-Korting!$B$2)*Prijsmutaties!$O$9))</f>
        <v>5687.8995045454531</v>
      </c>
      <c r="U7" s="10">
        <f>(('SunControl bron'!AB7/(1+Korting!$B$3)*(1-Korting!$B$2)*Prijsmutaties!$O$9))</f>
        <v>5872.727359090909</v>
      </c>
      <c r="V7" s="10">
        <f>(('SunControl bron'!AC7/(1+Korting!$B$3)*(1-Korting!$B$2)*Prijsmutaties!$O$9))</f>
        <v>6061.1095954545444</v>
      </c>
      <c r="W7" s="10">
        <f>(('SunControl bron'!AD7/(1+Korting!$B$3)*(1-Korting!$B$2)*Prijsmutaties!$O$9))</f>
        <v>6245.0488545454537</v>
      </c>
      <c r="X7" s="10">
        <f>(('SunControl bron'!AE7/(1+Korting!$B$3)*(1-Korting!$B$2)*Prijsmutaties!$O$9))</f>
        <v>6432.5424954545442</v>
      </c>
    </row>
    <row r="8" spans="1:32" ht="20.100000000000001" customHeight="1">
      <c r="A8" s="974"/>
      <c r="B8" s="5">
        <v>550</v>
      </c>
      <c r="C8" s="459">
        <f>(('SunControl bron'!O8/(1+Korting!$B$3)*(1-Korting!$B$2)*Prijsmutaties!$B$9))</f>
        <v>3711.5553324611701</v>
      </c>
      <c r="D8" s="459">
        <f>(('SunControl bron'!P8/(1+Korting!$B$3)*(1-Korting!$B$2)*Prijsmutaties!$B$9))</f>
        <v>3809.9775952898681</v>
      </c>
      <c r="E8" s="459">
        <f>(('SunControl bron'!Q8/(1+Korting!$B$3)*(1-Korting!$B$2)*Prijsmutaties!$B$9))</f>
        <v>3988.6917041103993</v>
      </c>
      <c r="F8" s="459">
        <f>(('SunControl bron'!R8/(1+Korting!$B$3)*(1-Korting!$B$2)*Prijsmutaties!$B$9))</f>
        <v>4169.132519296345</v>
      </c>
      <c r="G8" s="459">
        <f>(('SunControl bron'!S8/(1+Korting!$B$3)*(1-Korting!$B$2)*Prijsmutaties!$B$9))</f>
        <v>4364.2503385883256</v>
      </c>
      <c r="H8" s="458"/>
      <c r="I8" s="176"/>
      <c r="J8" s="176"/>
      <c r="K8" s="176"/>
      <c r="R8" s="974"/>
      <c r="S8" s="5" t="s">
        <v>462</v>
      </c>
      <c r="T8" s="10">
        <f>(('SunControl bron'!AA8/(1+Korting!$B$3)*(1-Korting!$B$2)*Prijsmutaties!$O$9))</f>
        <v>6047.780663636363</v>
      </c>
      <c r="U8" s="10">
        <f>(('SunControl bron'!AB8/(1+Korting!$B$3)*(1-Korting!$B$2)*Prijsmutaties!$O$9))</f>
        <v>6234.3857090909078</v>
      </c>
      <c r="V8" s="10">
        <f>(('SunControl bron'!AC8/(1+Korting!$B$3)*(1-Korting!$B$2)*Prijsmutaties!$O$9))</f>
        <v>6427.2109227272722</v>
      </c>
      <c r="W8" s="10">
        <f>(('SunControl bron'!AD8/(1+Korting!$B$3)*(1-Korting!$B$2)*Prijsmutaties!$O$9))</f>
        <v>6613.815968181817</v>
      </c>
      <c r="X8" s="10">
        <f>(('SunControl bron'!AE8/(1+Korting!$B$3)*(1-Korting!$B$2)*Prijsmutaties!$O$9))</f>
        <v>6804.8639909090898</v>
      </c>
    </row>
    <row r="9" spans="1:32" ht="19.5" customHeight="1">
      <c r="A9" s="974"/>
      <c r="B9" s="13">
        <v>600</v>
      </c>
      <c r="C9" s="10">
        <f>(('SunControl bron'!O9/(1+Korting!$B$3)*(1-Korting!$B$2)*Prijsmutaties!$B$9))</f>
        <v>3858.3253735215094</v>
      </c>
      <c r="D9" s="10">
        <f>(('SunControl bron'!P9/(1+Korting!$B$3)*(1-Korting!$B$2)*Prijsmutaties!$B$9))</f>
        <v>3980.0581722833194</v>
      </c>
      <c r="E9" s="10">
        <f>(('SunControl bron'!Q9/(1+Korting!$B$3)*(1-Korting!$B$2)*Prijsmutaties!$B$9))</f>
        <v>4160.4989874692674</v>
      </c>
      <c r="F9" s="10">
        <f>(('SunControl bron'!R9/(1+Korting!$B$3)*(1-Korting!$B$2)*Prijsmutaties!$B$9))</f>
        <v>4327.9895049145953</v>
      </c>
      <c r="G9" s="10">
        <f>(('SunControl bron'!S9/(1+Korting!$B$3)*(1-Korting!$B$2)*Prijsmutaties!$B$9))</f>
        <v>4536.9209751299022</v>
      </c>
      <c r="H9" s="458"/>
      <c r="I9" s="176"/>
      <c r="J9" s="176"/>
      <c r="K9" s="176"/>
      <c r="R9" s="974"/>
      <c r="S9" s="13" t="s">
        <v>463</v>
      </c>
      <c r="T9" s="10">
        <f>(('SunControl bron'!AA9/(1+Korting!$B$3)*(1-Korting!$B$2)*Prijsmutaties!$O$9))</f>
        <v>6297.4759863636355</v>
      </c>
      <c r="U9" s="10">
        <f>(('SunControl bron'!AB9/(1+Korting!$B$3)*(1-Korting!$B$2)*Prijsmutaties!$O$9))</f>
        <v>6492.0783909090896</v>
      </c>
      <c r="V9" s="10">
        <f>(('SunControl bron'!AC9/(1+Korting!$B$3)*(1-Korting!$B$2)*Prijsmutaties!$O$9))</f>
        <v>6670.6860772727259</v>
      </c>
      <c r="W9" s="10">
        <f>(('SunControl bron'!AD9/(1+Korting!$B$3)*(1-Korting!$B$2)*Prijsmutaties!$O$9))</f>
        <v>6861.7340999999988</v>
      </c>
      <c r="X9" s="10">
        <f>(('SunControl bron'!AE9/(1+Korting!$B$3)*(1-Korting!$B$2)*Prijsmutaties!$O$9))</f>
        <v>7050.1163363636351</v>
      </c>
    </row>
    <row r="10" spans="1:32" ht="19.5" customHeight="1">
      <c r="A10" s="486"/>
      <c r="B10" s="487"/>
      <c r="C10" s="488"/>
      <c r="D10" s="488"/>
      <c r="E10" s="488"/>
      <c r="F10" s="478"/>
      <c r="G10" s="478"/>
      <c r="H10" s="458"/>
      <c r="I10" s="176"/>
      <c r="J10" s="176"/>
      <c r="K10" s="176"/>
      <c r="R10" s="977"/>
      <c r="S10" s="978"/>
      <c r="T10" s="978"/>
      <c r="U10" s="978"/>
      <c r="V10" s="978"/>
      <c r="W10" s="978"/>
    </row>
    <row r="11" spans="1:32" ht="19.5" customHeight="1">
      <c r="A11" s="483" t="s">
        <v>413</v>
      </c>
      <c r="B11" s="484">
        <v>6</v>
      </c>
      <c r="C11" s="484">
        <v>6</v>
      </c>
      <c r="D11" s="484">
        <v>6</v>
      </c>
      <c r="E11" s="484">
        <v>6</v>
      </c>
      <c r="F11" s="485">
        <v>8</v>
      </c>
      <c r="G11" s="485">
        <v>8</v>
      </c>
      <c r="H11" s="458"/>
      <c r="I11" s="176"/>
      <c r="J11" s="176"/>
      <c r="K11" s="176"/>
    </row>
    <row r="12" spans="1:32" ht="20.8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32" ht="22.5" customHeight="1">
      <c r="A13" s="972" t="s">
        <v>441</v>
      </c>
      <c r="B13" s="973"/>
      <c r="C13" s="973"/>
      <c r="D13" s="973"/>
      <c r="E13" s="973"/>
      <c r="F13" s="973"/>
      <c r="G13" s="973"/>
      <c r="H13" s="973"/>
      <c r="I13" s="973"/>
      <c r="J13" s="973"/>
      <c r="K13" s="973"/>
      <c r="R13" s="975" t="s">
        <v>469</v>
      </c>
      <c r="S13" s="976"/>
      <c r="T13" s="976"/>
      <c r="U13" s="976"/>
      <c r="V13" s="976"/>
      <c r="W13" s="976"/>
      <c r="X13" s="976"/>
      <c r="Y13" s="976"/>
      <c r="Z13" s="976"/>
      <c r="AA13" s="976"/>
    </row>
    <row r="14" spans="1:32" ht="22.5" customHeight="1">
      <c r="A14" s="605" t="s">
        <v>414</v>
      </c>
      <c r="B14" s="619"/>
      <c r="C14" s="619"/>
      <c r="D14" s="619"/>
      <c r="E14" s="619"/>
      <c r="F14" s="619"/>
      <c r="G14" s="619"/>
      <c r="H14" s="832"/>
      <c r="I14" s="825"/>
      <c r="J14" s="552">
        <f>(('SunControl bron'!J13/(1+Korting!$B$3)*(1-Korting!$B$2)*Prijsmutaties!$G$9))</f>
        <v>-41.462119008264459</v>
      </c>
      <c r="K14" s="553">
        <f>(('Zip 110 (2)'!K21/(1+Korting!$B$3)*(1-Korting!$B$2)))</f>
        <v>0</v>
      </c>
      <c r="R14" s="499" t="s">
        <v>415</v>
      </c>
      <c r="S14" s="500"/>
      <c r="T14" s="500"/>
      <c r="U14" s="500"/>
      <c r="V14" s="500"/>
      <c r="W14" s="500"/>
      <c r="X14" s="500"/>
      <c r="Y14" s="832"/>
      <c r="Z14" s="825"/>
      <c r="AA14" s="502">
        <f>(('SunControl bron'!AF13/(1+Korting!$B$3)*(1-Korting!$B$2)*Prijsmutaties!$O$9))</f>
        <v>0.13328931818181816</v>
      </c>
    </row>
    <row r="15" spans="1:32" ht="22.5" customHeight="1">
      <c r="A15" s="574" t="s">
        <v>415</v>
      </c>
      <c r="B15" s="969"/>
      <c r="C15" s="969"/>
      <c r="D15" s="969"/>
      <c r="E15" s="969"/>
      <c r="F15" s="969"/>
      <c r="G15" s="969"/>
      <c r="H15" s="830"/>
      <c r="I15" s="831"/>
      <c r="J15" s="970">
        <v>0.15</v>
      </c>
      <c r="K15" s="971">
        <f>(('Zip 110 (2)'!K22/(1+Korting!$B$3)*(1-Korting!$B$2)))</f>
        <v>0</v>
      </c>
      <c r="R15" s="497" t="s">
        <v>305</v>
      </c>
      <c r="S15" s="501"/>
      <c r="T15" s="501"/>
      <c r="U15" s="501"/>
      <c r="V15" s="501"/>
      <c r="W15" s="501"/>
      <c r="X15" s="501"/>
      <c r="Y15" s="830"/>
      <c r="Z15" s="831"/>
      <c r="AA15" s="242">
        <f>(('SunControl bron'!AF14/(1+Korting!$B$3)*(1-Korting!$B$2)*Prijsmutaties!$P$9))</f>
        <v>62.924462809917351</v>
      </c>
    </row>
    <row r="16" spans="1:32" ht="22.5" customHeight="1">
      <c r="A16" s="605" t="s">
        <v>417</v>
      </c>
      <c r="B16" s="619"/>
      <c r="C16" s="619"/>
      <c r="D16" s="619"/>
      <c r="E16" s="619"/>
      <c r="F16" s="619"/>
      <c r="G16" s="619"/>
      <c r="H16" s="832" t="s">
        <v>418</v>
      </c>
      <c r="I16" s="825"/>
      <c r="J16" s="552">
        <f>(('SunControl bron'!J15/(1+Korting!$B$3)*(1-Korting!$B$2)*Prijsmutaties!$G$9))</f>
        <v>14.421606611570247</v>
      </c>
      <c r="K16" s="553" t="e">
        <f>(('Zip 110 (2)'!#REF!/(1+Korting!$B$3)*(1-Korting!$B$2)))</f>
        <v>#REF!</v>
      </c>
      <c r="R16" s="499" t="s">
        <v>464</v>
      </c>
      <c r="S16" s="500"/>
      <c r="T16" s="500"/>
      <c r="U16" s="500"/>
      <c r="V16" s="500"/>
      <c r="W16" s="500"/>
      <c r="X16" s="500"/>
      <c r="Y16" s="832" t="s">
        <v>418</v>
      </c>
      <c r="Z16" s="825"/>
      <c r="AA16" s="256">
        <f>(('SunControl bron'!AF15/(1+Korting!$B$3)*(1-Korting!$B$2)*Prijsmutaties!$P$9))</f>
        <v>-41.666198347107432</v>
      </c>
    </row>
    <row r="17" spans="1:27" ht="22.5" customHeight="1">
      <c r="A17" s="574" t="s">
        <v>416</v>
      </c>
      <c r="B17" s="969"/>
      <c r="C17" s="969"/>
      <c r="D17" s="969"/>
      <c r="E17" s="969"/>
      <c r="F17" s="969"/>
      <c r="G17" s="969"/>
      <c r="H17" s="830" t="s">
        <v>418</v>
      </c>
      <c r="I17" s="831"/>
      <c r="J17" s="550">
        <f>(('SunControl bron'!J16/(1+Korting!$B$3)*(1-Korting!$B$2)*Prijsmutaties!$G$9))</f>
        <v>15.773632231404957</v>
      </c>
      <c r="K17" s="551">
        <f>(('Zip 110 (2)'!K23/(1+Korting!$B$3)*(1-Korting!$B$2)))</f>
        <v>0</v>
      </c>
      <c r="R17" s="497" t="s">
        <v>465</v>
      </c>
      <c r="S17" s="501"/>
      <c r="T17" s="501"/>
      <c r="U17" s="501"/>
      <c r="V17" s="501"/>
      <c r="W17" s="501"/>
      <c r="X17" s="501"/>
      <c r="Y17" s="830" t="s">
        <v>418</v>
      </c>
      <c r="Z17" s="831"/>
      <c r="AA17" s="242">
        <f>(('SunControl bron'!AF16/(1+Korting!$B$3)*(1-Korting!$B$2)*Prijsmutaties!$P$9))</f>
        <v>698.12140495867766</v>
      </c>
    </row>
    <row r="18" spans="1:27" ht="22.5" customHeight="1">
      <c r="R18" s="499" t="s">
        <v>466</v>
      </c>
      <c r="S18" s="500"/>
      <c r="T18" s="500"/>
      <c r="U18" s="500"/>
      <c r="V18" s="500"/>
      <c r="W18" s="500"/>
      <c r="X18" s="500"/>
      <c r="Y18" s="832" t="s">
        <v>470</v>
      </c>
      <c r="Z18" s="825"/>
      <c r="AA18" s="256">
        <f>(('SunControl bron'!AF17/(1+Korting!$B$3)*(1-Korting!$B$2)*Prijsmutaties!$P$9))</f>
        <v>62.07413223140496</v>
      </c>
    </row>
    <row r="19" spans="1:27" ht="22.5" customHeight="1">
      <c r="A19" s="972" t="s">
        <v>442</v>
      </c>
      <c r="B19" s="973"/>
      <c r="C19" s="973"/>
      <c r="D19" s="973"/>
      <c r="E19" s="973"/>
      <c r="F19" s="973"/>
      <c r="G19" s="973"/>
      <c r="H19" s="973"/>
      <c r="I19" s="973"/>
      <c r="J19" s="973"/>
      <c r="K19" s="973"/>
      <c r="R19" s="497" t="s">
        <v>467</v>
      </c>
      <c r="S19" s="501"/>
      <c r="T19" s="501"/>
      <c r="U19" s="501"/>
      <c r="V19" s="501"/>
      <c r="W19" s="501"/>
      <c r="X19" s="501"/>
      <c r="Y19" s="830" t="s">
        <v>418</v>
      </c>
      <c r="Z19" s="831"/>
      <c r="AA19" s="242">
        <f>(('SunControl bron'!AF18/(1+Korting!$B$3)*(1-Korting!$B$2)*Prijsmutaties!$P$9))</f>
        <v>62.07413223140496</v>
      </c>
    </row>
    <row r="20" spans="1:27" ht="22.5" customHeight="1">
      <c r="A20" s="806" t="s">
        <v>451</v>
      </c>
      <c r="B20" s="887"/>
      <c r="C20" s="887"/>
      <c r="D20" s="887"/>
      <c r="E20" s="887"/>
      <c r="F20" s="887"/>
      <c r="G20" s="887"/>
      <c r="H20" s="832"/>
      <c r="I20" s="825"/>
      <c r="J20" s="552">
        <f>(('SunControl bron'!V13/(1+Korting!$B$3)*(1-Korting!$B$2)*Prijsmutaties!$G$9))</f>
        <v>0</v>
      </c>
      <c r="K20" s="553">
        <f>(('Zip 110 (2)'!X21/(1+Korting!$B$3)*(1-Korting!$B$2)))</f>
        <v>0</v>
      </c>
      <c r="R20" s="499" t="s">
        <v>468</v>
      </c>
      <c r="S20" s="500"/>
      <c r="T20" s="500"/>
      <c r="U20" s="500"/>
      <c r="V20" s="500"/>
      <c r="W20" s="500"/>
      <c r="X20" s="500"/>
      <c r="Y20" s="832" t="s">
        <v>418</v>
      </c>
      <c r="Z20" s="825"/>
      <c r="AA20" s="256">
        <f>(('SunControl bron'!AF19/(1+Korting!$B$3)*(1-Korting!$B$2)*Prijsmutaties!$P$9))</f>
        <v>306.11900826446276</v>
      </c>
    </row>
    <row r="21" spans="1:27" ht="18" customHeight="1">
      <c r="A21" s="574" t="s">
        <v>415</v>
      </c>
      <c r="B21" s="969"/>
      <c r="C21" s="969"/>
      <c r="D21" s="969"/>
      <c r="E21" s="969"/>
      <c r="F21" s="969"/>
      <c r="G21" s="969"/>
      <c r="H21" s="830"/>
      <c r="I21" s="831"/>
      <c r="J21" s="970">
        <v>0.15</v>
      </c>
      <c r="K21" s="971">
        <f>(('Zip 110 (2)'!X22/(1+Korting!$B$3)*(1-Korting!$B$2)))</f>
        <v>0</v>
      </c>
    </row>
    <row r="22" spans="1:27" ht="18" customHeight="1">
      <c r="A22" s="806" t="s">
        <v>452</v>
      </c>
      <c r="B22" s="887"/>
      <c r="C22" s="887"/>
      <c r="D22" s="887"/>
      <c r="E22" s="887"/>
      <c r="F22" s="887"/>
      <c r="G22" s="887"/>
      <c r="H22" s="832" t="s">
        <v>418</v>
      </c>
      <c r="I22" s="825"/>
      <c r="J22" s="552">
        <f>(('SunControl bron'!V15/(1+Korting!$B$3)*(1-Korting!$B$2)*Prijsmutaties!$G$9))</f>
        <v>20.731059504132229</v>
      </c>
      <c r="K22" s="553">
        <f>(('Zip 110 (2)'!X23/(1+Korting!$B$3)*(1-Korting!$B$2)))</f>
        <v>0</v>
      </c>
      <c r="R22" s="503"/>
    </row>
    <row r="23" spans="1:27" ht="18" customHeight="1">
      <c r="A23" s="574" t="s">
        <v>453</v>
      </c>
      <c r="B23" s="969"/>
      <c r="C23" s="969"/>
      <c r="D23" s="969"/>
      <c r="E23" s="969"/>
      <c r="F23" s="969"/>
      <c r="G23" s="969"/>
      <c r="H23" s="830" t="s">
        <v>418</v>
      </c>
      <c r="I23" s="831"/>
      <c r="J23" s="550">
        <f>(('SunControl bron'!V16/(1+Korting!$B$3)*(1-Korting!$B$2)*Prijsmutaties!$G$9))</f>
        <v>8.1121537190082638</v>
      </c>
      <c r="K23" s="551">
        <f>(('Zip 110 (2)'!X24/(1+Korting!$B$3)*(1-Korting!$B$2)))</f>
        <v>0</v>
      </c>
    </row>
    <row r="24" spans="1:27" ht="18" customHeight="1">
      <c r="A24" s="806" t="s">
        <v>454</v>
      </c>
      <c r="B24" s="887"/>
      <c r="C24" s="887"/>
      <c r="D24" s="887"/>
      <c r="E24" s="887"/>
      <c r="F24" s="887"/>
      <c r="G24" s="887"/>
      <c r="H24" s="832" t="s">
        <v>418</v>
      </c>
      <c r="I24" s="825"/>
      <c r="J24" s="552">
        <f>(('SunControl bron'!V17/(1+Korting!$B$3)*(1-Korting!$B$2)*Prijsmutaties!$G$9))</f>
        <v>12.618905785123966</v>
      </c>
      <c r="K24" s="553">
        <f>(('Zip 110 (2)'!X25/(1+Korting!$B$3)*(1-Korting!$B$2)))</f>
        <v>0</v>
      </c>
    </row>
    <row r="25" spans="1:27" ht="18" customHeight="1">
      <c r="A25" s="574" t="s">
        <v>455</v>
      </c>
      <c r="B25" s="969"/>
      <c r="C25" s="969"/>
      <c r="D25" s="969"/>
      <c r="E25" s="969"/>
      <c r="F25" s="969"/>
      <c r="G25" s="969"/>
      <c r="H25" s="830" t="s">
        <v>418</v>
      </c>
      <c r="I25" s="831"/>
      <c r="J25" s="550">
        <f>(('SunControl bron'!V18/(1+Korting!$B$3)*(1-Korting!$B$2)*Prijsmutaties!$G$9))</f>
        <v>16.674982644628098</v>
      </c>
      <c r="K25" s="551">
        <f>(('Zip 110 (2)'!X26/(1+Korting!$B$3)*(1-Korting!$B$2)))</f>
        <v>0</v>
      </c>
    </row>
    <row r="26" spans="1:27" ht="18" customHeight="1">
      <c r="A26" s="806" t="s">
        <v>414</v>
      </c>
      <c r="B26" s="887"/>
      <c r="C26" s="887"/>
      <c r="D26" s="887"/>
      <c r="E26" s="887"/>
      <c r="F26" s="887"/>
      <c r="G26" s="887"/>
      <c r="H26" s="832"/>
      <c r="I26" s="825"/>
      <c r="J26" s="552">
        <f>(('SunControl bron'!V19/(1+Korting!$B$3)*(1-Korting!$B$2)*Prijsmutaties!$G$9))</f>
        <v>-41.462119008264459</v>
      </c>
      <c r="K26" s="553">
        <f>(('Zip 110 (2)'!X27/(1+Korting!$B$3)*(1-Korting!$B$2)))</f>
        <v>0</v>
      </c>
    </row>
    <row r="27" spans="1:27" ht="18" customHeight="1">
      <c r="A27" s="574" t="s">
        <v>509</v>
      </c>
      <c r="B27" s="969"/>
      <c r="C27" s="969"/>
      <c r="D27" s="969"/>
      <c r="E27" s="969"/>
      <c r="F27" s="969"/>
      <c r="G27" s="969"/>
      <c r="H27" s="830" t="s">
        <v>418</v>
      </c>
      <c r="I27" s="831"/>
      <c r="J27" s="550">
        <f>(('SunControl bron'!V20/(1+Korting!$B$3)*(1-Korting!$B$2)*Prijsmutaties!$G$9))</f>
        <v>305.5577900826446</v>
      </c>
      <c r="K27" s="551">
        <f>(('Zip 110 (2)'!X28/(1+Korting!$B$3)*(1-Korting!$B$2)))</f>
        <v>0</v>
      </c>
    </row>
    <row r="29" spans="1:27" ht="16.5">
      <c r="A29" s="960" t="s">
        <v>49</v>
      </c>
      <c r="B29" s="961"/>
      <c r="C29" s="961"/>
      <c r="D29" s="961"/>
      <c r="E29" s="961"/>
      <c r="F29" s="961"/>
      <c r="G29" s="961"/>
      <c r="H29" s="961"/>
      <c r="I29" s="961"/>
      <c r="J29" s="961"/>
      <c r="K29" s="961"/>
    </row>
    <row r="30" spans="1:27" ht="16.5">
      <c r="A30" s="892" t="s">
        <v>377</v>
      </c>
      <c r="B30" s="893"/>
      <c r="C30" s="893"/>
      <c r="D30" s="893"/>
      <c r="E30" s="893"/>
      <c r="F30" s="893"/>
      <c r="G30" s="893"/>
      <c r="H30" s="893"/>
      <c r="I30" s="894"/>
      <c r="J30" s="963">
        <f>(('Opties Uitval (2)'!G28/(1+Korting!$B$3)*(1-Korting!$B$2)*Prijsmutaties!$G$9))</f>
        <v>32.448614876033055</v>
      </c>
      <c r="K30" s="964"/>
    </row>
    <row r="31" spans="1:27" ht="16.5">
      <c r="A31" s="877" t="s">
        <v>378</v>
      </c>
      <c r="B31" s="965"/>
      <c r="C31" s="965"/>
      <c r="D31" s="965"/>
      <c r="E31" s="965"/>
      <c r="F31" s="965"/>
      <c r="G31" s="965"/>
      <c r="H31" s="965"/>
      <c r="I31" s="966"/>
      <c r="J31" s="967">
        <f>(('Opties Uitval (2)'!G29/(1+Korting!$B$3)*(1-Korting!$B$2)*Prijsmutaties!$G$9))</f>
        <v>44.616845454545455</v>
      </c>
      <c r="K31" s="968"/>
    </row>
    <row r="32" spans="1:27" ht="16.5">
      <c r="A32" s="892" t="s">
        <v>379</v>
      </c>
      <c r="B32" s="893"/>
      <c r="C32" s="893"/>
      <c r="D32" s="893"/>
      <c r="E32" s="893"/>
      <c r="F32" s="893"/>
      <c r="G32" s="893"/>
      <c r="H32" s="893"/>
      <c r="I32" s="894"/>
      <c r="J32" s="963">
        <f>(('Opties Uitval (2)'!G30/(1+Korting!$B$3)*(1-Korting!$B$2)*Prijsmutaties!$G$9))</f>
        <v>80.220186776859492</v>
      </c>
      <c r="K32" s="964"/>
    </row>
    <row r="33" spans="1:11">
      <c r="A33" s="2"/>
      <c r="B33" s="2"/>
    </row>
    <row r="34" spans="1:11" ht="16.5">
      <c r="A34" s="960" t="s">
        <v>56</v>
      </c>
      <c r="B34" s="961"/>
      <c r="C34" s="961"/>
      <c r="D34" s="961"/>
      <c r="E34" s="961"/>
      <c r="F34" s="961"/>
      <c r="G34" s="961"/>
      <c r="H34" s="961"/>
      <c r="I34" s="961"/>
      <c r="J34" s="961"/>
      <c r="K34" s="961"/>
    </row>
    <row r="35" spans="1:11" ht="16.5">
      <c r="A35" s="892" t="s">
        <v>377</v>
      </c>
      <c r="B35" s="893"/>
      <c r="C35" s="893"/>
      <c r="D35" s="893"/>
      <c r="E35" s="893"/>
      <c r="F35" s="893"/>
      <c r="G35" s="893"/>
      <c r="H35" s="893"/>
      <c r="I35" s="894"/>
      <c r="J35" s="963">
        <f>(('Opties Uitval (2)'!G33/(1+Korting!$B$3)*(1-Korting!$B$2)*Prijsmutaties!$G$9))</f>
        <v>24.336461157024793</v>
      </c>
      <c r="K35" s="964"/>
    </row>
    <row r="36" spans="1:11" ht="16.5">
      <c r="A36" s="877" t="s">
        <v>378</v>
      </c>
      <c r="B36" s="965"/>
      <c r="C36" s="965"/>
      <c r="D36" s="965"/>
      <c r="E36" s="965"/>
      <c r="F36" s="965"/>
      <c r="G36" s="965"/>
      <c r="H36" s="965"/>
      <c r="I36" s="966"/>
      <c r="J36" s="967">
        <f>(('Opties Uitval (2)'!G34/(1+Korting!$B$3)*(1-Korting!$B$2)*Prijsmutaties!$G$9))</f>
        <v>32.448614876033055</v>
      </c>
      <c r="K36" s="968"/>
    </row>
    <row r="37" spans="1:11" ht="16.5">
      <c r="A37" s="892" t="s">
        <v>379</v>
      </c>
      <c r="B37" s="893"/>
      <c r="C37" s="893"/>
      <c r="D37" s="893"/>
      <c r="E37" s="893"/>
      <c r="F37" s="893"/>
      <c r="G37" s="893"/>
      <c r="H37" s="893"/>
      <c r="I37" s="894"/>
      <c r="J37" s="963">
        <f>(('Opties Uitval (2)'!G35/(1+Korting!$B$3)*(1-Korting!$B$2)*Prijsmutaties!$G$9))</f>
        <v>48.672922314049586</v>
      </c>
      <c r="K37" s="964"/>
    </row>
  </sheetData>
  <sheetProtection algorithmName="SHA-512" hashValue="4l+PWjO7y92O0BMw2yT8DQfTTLH8xOWolKIH51U9k4h7Jlmb6NlcGpLFI8mDdfGPG6q8WXaq3XQc0RbE0t2Q9A==" saltValue="LEkigfTsjk2k7bF4Lbg7Qg==" spinCount="100000" sheet="1" objects="1" scenarios="1"/>
  <mergeCells count="65">
    <mergeCell ref="A27:G27"/>
    <mergeCell ref="H27:I27"/>
    <mergeCell ref="J27:K27"/>
    <mergeCell ref="Y19:Z19"/>
    <mergeCell ref="Y20:Z20"/>
    <mergeCell ref="A26:G26"/>
    <mergeCell ref="J24:K24"/>
    <mergeCell ref="J25:K25"/>
    <mergeCell ref="J26:K26"/>
    <mergeCell ref="H24:I24"/>
    <mergeCell ref="H25:I25"/>
    <mergeCell ref="H26:I26"/>
    <mergeCell ref="A23:G23"/>
    <mergeCell ref="H23:I23"/>
    <mergeCell ref="J23:K23"/>
    <mergeCell ref="A24:G24"/>
    <mergeCell ref="Y17:Z17"/>
    <mergeCell ref="Y18:Z18"/>
    <mergeCell ref="Y15:Z15"/>
    <mergeCell ref="Y16:Z16"/>
    <mergeCell ref="R1:AF1"/>
    <mergeCell ref="R2:R9"/>
    <mergeCell ref="Y14:Z14"/>
    <mergeCell ref="R13:AA13"/>
    <mergeCell ref="R10:W10"/>
    <mergeCell ref="A25:G25"/>
    <mergeCell ref="A21:G21"/>
    <mergeCell ref="H21:I21"/>
    <mergeCell ref="J21:K21"/>
    <mergeCell ref="A22:G22"/>
    <mergeCell ref="H22:I22"/>
    <mergeCell ref="J22:K22"/>
    <mergeCell ref="A1:O1"/>
    <mergeCell ref="A2:A9"/>
    <mergeCell ref="A13:K13"/>
    <mergeCell ref="A14:G14"/>
    <mergeCell ref="H14:I14"/>
    <mergeCell ref="J14:K14"/>
    <mergeCell ref="A19:K19"/>
    <mergeCell ref="A20:G20"/>
    <mergeCell ref="H20:I20"/>
    <mergeCell ref="J20:K20"/>
    <mergeCell ref="A15:G15"/>
    <mergeCell ref="H15:I15"/>
    <mergeCell ref="J15:K15"/>
    <mergeCell ref="A16:G16"/>
    <mergeCell ref="H16:I16"/>
    <mergeCell ref="J16:K16"/>
    <mergeCell ref="A17:G17"/>
    <mergeCell ref="H17:I17"/>
    <mergeCell ref="J17:K17"/>
    <mergeCell ref="A30:I30"/>
    <mergeCell ref="A31:I31"/>
    <mergeCell ref="A29:K29"/>
    <mergeCell ref="A34:K34"/>
    <mergeCell ref="J30:K30"/>
    <mergeCell ref="J31:K31"/>
    <mergeCell ref="J32:K32"/>
    <mergeCell ref="A32:I32"/>
    <mergeCell ref="J35:K35"/>
    <mergeCell ref="J36:K36"/>
    <mergeCell ref="J37:K37"/>
    <mergeCell ref="A35:I35"/>
    <mergeCell ref="A36:I36"/>
    <mergeCell ref="A37:I37"/>
  </mergeCells>
  <pageMargins left="0.70866141732283472" right="0.70866141732283472" top="0.74803149606299213" bottom="0.74803149606299213" header="0.31496062992125984" footer="0.31496062992125984"/>
  <pageSetup paperSize="9" scale="67" orientation="portrait" r:id="rId1"/>
  <headerFooter>
    <oddFooter>&amp;L&amp;D&amp;C&amp;F
Tabblad &amp;A&amp;RInkoopprijslijst excl. BTW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31C8-D31A-4D7C-8CBC-FB0B7BB1D57F}">
  <sheetPr codeName="Blad42">
    <tabColor theme="3" tint="0.39997558519241921"/>
  </sheetPr>
  <dimension ref="A1:P22"/>
  <sheetViews>
    <sheetView workbookViewId="0">
      <selection activeCell="P12" sqref="P12"/>
    </sheetView>
  </sheetViews>
  <sheetFormatPr defaultRowHeight="12.75"/>
  <cols>
    <col min="1" max="1" width="8.1640625" bestFit="1" customWidth="1"/>
    <col min="4" max="4" width="16.83203125" customWidth="1"/>
    <col min="7" max="7" width="15" customWidth="1"/>
  </cols>
  <sheetData>
    <row r="1" spans="1:16" ht="39.6" customHeight="1">
      <c r="A1" s="768" t="s">
        <v>248</v>
      </c>
      <c r="B1" s="768"/>
      <c r="C1" s="768"/>
      <c r="D1" s="768"/>
      <c r="E1" s="768"/>
      <c r="F1" s="768"/>
      <c r="G1" s="768"/>
      <c r="H1" s="768"/>
      <c r="I1" s="999" t="s">
        <v>348</v>
      </c>
      <c r="J1" s="1000"/>
      <c r="K1" s="1000"/>
      <c r="L1" s="1000"/>
      <c r="M1" s="1000"/>
      <c r="N1" s="1000"/>
      <c r="O1" s="1000"/>
      <c r="P1" s="1001"/>
    </row>
    <row r="3" spans="1:16" ht="16.5">
      <c r="A3" s="1007"/>
      <c r="B3" s="990"/>
      <c r="D3" s="979" t="s">
        <v>249</v>
      </c>
      <c r="E3" s="980"/>
      <c r="F3" s="981"/>
      <c r="I3" s="1002" t="s">
        <v>354</v>
      </c>
      <c r="J3" s="1003"/>
      <c r="K3" s="1004"/>
      <c r="L3" s="313"/>
      <c r="M3" s="313"/>
      <c r="N3" s="986" t="s">
        <v>349</v>
      </c>
      <c r="O3" s="987"/>
      <c r="P3" s="988"/>
    </row>
    <row r="4" spans="1:16" ht="16.5">
      <c r="A4" s="149"/>
      <c r="B4" s="150"/>
      <c r="D4" s="1008">
        <v>908654</v>
      </c>
      <c r="E4" s="1009"/>
      <c r="F4" s="152">
        <v>70</v>
      </c>
      <c r="I4" s="423"/>
      <c r="J4" s="422"/>
      <c r="K4" s="424"/>
      <c r="L4" s="313"/>
      <c r="M4" s="313"/>
      <c r="N4" s="423"/>
      <c r="O4" s="422"/>
      <c r="P4" s="424"/>
    </row>
    <row r="5" spans="1:16" ht="29.25" customHeight="1">
      <c r="A5" s="1007"/>
      <c r="B5" s="990"/>
      <c r="D5" s="979" t="s">
        <v>250</v>
      </c>
      <c r="E5" s="980"/>
      <c r="F5" s="981"/>
      <c r="I5" s="1005">
        <v>9081770</v>
      </c>
      <c r="J5" s="1006"/>
      <c r="K5" s="302">
        <v>51</v>
      </c>
      <c r="L5" s="313"/>
      <c r="M5" s="313"/>
      <c r="N5" s="1005">
        <v>9081773</v>
      </c>
      <c r="O5" s="1006"/>
      <c r="P5" s="302">
        <v>57</v>
      </c>
    </row>
    <row r="6" spans="1:16" ht="16.5">
      <c r="A6" s="151"/>
      <c r="B6" s="152"/>
      <c r="D6" s="1008">
        <v>908655</v>
      </c>
      <c r="E6" s="1009"/>
      <c r="F6" s="152">
        <v>107.5</v>
      </c>
      <c r="I6" s="313"/>
      <c r="J6" s="313"/>
      <c r="K6" s="313"/>
      <c r="L6" s="313"/>
      <c r="M6" s="313"/>
      <c r="N6" s="313"/>
      <c r="O6" s="313"/>
      <c r="P6" s="313"/>
    </row>
    <row r="7" spans="1:16" ht="12.75" customHeight="1">
      <c r="A7" s="989" t="s">
        <v>511</v>
      </c>
      <c r="B7" s="990"/>
      <c r="D7" s="979" t="s">
        <v>251</v>
      </c>
      <c r="E7" s="980"/>
      <c r="F7" s="981"/>
      <c r="I7" s="986" t="s">
        <v>350</v>
      </c>
      <c r="J7" s="987"/>
      <c r="K7" s="988"/>
      <c r="L7" s="313"/>
      <c r="M7" s="313"/>
      <c r="N7" s="986" t="s">
        <v>351</v>
      </c>
      <c r="O7" s="987"/>
      <c r="P7" s="988"/>
    </row>
    <row r="8" spans="1:16" ht="16.5">
      <c r="A8" s="151"/>
      <c r="B8" s="152">
        <v>182</v>
      </c>
      <c r="D8" s="151">
        <v>908656</v>
      </c>
      <c r="E8" s="1010">
        <v>113</v>
      </c>
      <c r="F8" s="1011"/>
      <c r="I8" s="1005">
        <v>9081701</v>
      </c>
      <c r="J8" s="1006"/>
      <c r="K8" s="302">
        <v>51</v>
      </c>
      <c r="L8" s="313"/>
      <c r="M8" s="313"/>
      <c r="N8" s="1005">
        <v>9081702</v>
      </c>
      <c r="O8" s="1006"/>
      <c r="P8" s="302">
        <v>57</v>
      </c>
    </row>
    <row r="9" spans="1:16">
      <c r="I9" s="313"/>
      <c r="J9" s="313"/>
      <c r="K9" s="313"/>
      <c r="L9" s="313"/>
      <c r="M9" s="313"/>
      <c r="N9" s="311"/>
      <c r="O9" s="311"/>
      <c r="P9" s="311"/>
    </row>
    <row r="10" spans="1:16" ht="12.75" customHeight="1">
      <c r="D10" s="979" t="s">
        <v>252</v>
      </c>
      <c r="E10" s="980"/>
      <c r="F10" s="981"/>
      <c r="I10" s="986" t="s">
        <v>352</v>
      </c>
      <c r="J10" s="987"/>
      <c r="K10" s="988"/>
      <c r="L10" s="313"/>
      <c r="M10" s="313"/>
      <c r="N10" s="986" t="s">
        <v>353</v>
      </c>
      <c r="O10" s="987"/>
      <c r="P10" s="988"/>
    </row>
    <row r="11" spans="1:16" ht="16.5">
      <c r="D11" s="151">
        <v>908667</v>
      </c>
      <c r="E11" s="984">
        <v>173.5</v>
      </c>
      <c r="F11" s="985"/>
      <c r="I11" s="1005">
        <v>9081927</v>
      </c>
      <c r="J11" s="1006"/>
      <c r="K11" s="302">
        <v>148.5</v>
      </c>
      <c r="L11" s="313"/>
      <c r="M11" s="313"/>
      <c r="N11" s="1005">
        <v>9081925</v>
      </c>
      <c r="O11" s="1006"/>
      <c r="P11" s="302">
        <v>28</v>
      </c>
    </row>
    <row r="12" spans="1:16" ht="16.5">
      <c r="A12" s="989" t="s">
        <v>471</v>
      </c>
      <c r="B12" s="990"/>
      <c r="D12" s="979" t="s">
        <v>253</v>
      </c>
      <c r="E12" s="980"/>
      <c r="F12" s="981"/>
      <c r="I12" s="313"/>
      <c r="J12" s="313"/>
      <c r="K12" s="313"/>
      <c r="L12" s="313"/>
      <c r="M12" s="313"/>
      <c r="N12" s="313"/>
      <c r="O12" s="313"/>
      <c r="P12" s="313"/>
    </row>
    <row r="13" spans="1:16" ht="16.5">
      <c r="A13" s="149"/>
      <c r="B13" s="150">
        <v>70</v>
      </c>
      <c r="D13" s="151">
        <v>908671</v>
      </c>
      <c r="E13" s="984">
        <v>219</v>
      </c>
      <c r="F13" s="985"/>
      <c r="L13" s="313"/>
      <c r="M13" s="313"/>
      <c r="N13" s="313"/>
      <c r="O13" s="313"/>
      <c r="P13" s="313"/>
    </row>
    <row r="14" spans="1:16" ht="16.5">
      <c r="A14" s="989" t="s">
        <v>472</v>
      </c>
      <c r="B14" s="990"/>
      <c r="D14" s="979" t="s">
        <v>254</v>
      </c>
      <c r="E14" s="980"/>
      <c r="F14" s="981"/>
      <c r="L14" s="313"/>
      <c r="M14" s="313"/>
      <c r="N14" s="313"/>
      <c r="O14" s="313"/>
      <c r="P14" s="313"/>
    </row>
    <row r="15" spans="1:16" ht="16.5">
      <c r="A15" s="151"/>
      <c r="B15" s="152">
        <v>88.5</v>
      </c>
      <c r="D15" s="993">
        <v>908672</v>
      </c>
      <c r="E15" s="995">
        <v>366</v>
      </c>
      <c r="F15" s="996"/>
    </row>
    <row r="16" spans="1:16" ht="16.5">
      <c r="A16" s="991" t="s">
        <v>473</v>
      </c>
      <c r="B16" s="992"/>
      <c r="D16" s="994"/>
      <c r="E16" s="997"/>
      <c r="F16" s="998"/>
    </row>
    <row r="17" spans="1:6" ht="16.5" customHeight="1">
      <c r="A17" s="151"/>
      <c r="B17" s="152">
        <v>88.5</v>
      </c>
      <c r="D17" s="979" t="s">
        <v>255</v>
      </c>
      <c r="E17" s="980"/>
      <c r="F17" s="981"/>
    </row>
    <row r="18" spans="1:6" ht="16.5">
      <c r="A18" s="991" t="s">
        <v>474</v>
      </c>
      <c r="B18" s="992"/>
      <c r="D18" s="151">
        <v>908665</v>
      </c>
      <c r="E18" s="984">
        <v>192</v>
      </c>
      <c r="F18" s="985"/>
    </row>
    <row r="19" spans="1:6" ht="16.5">
      <c r="A19" s="151"/>
      <c r="B19" s="152">
        <v>107.5</v>
      </c>
      <c r="D19" s="979" t="s">
        <v>256</v>
      </c>
      <c r="E19" s="980"/>
      <c r="F19" s="981"/>
    </row>
    <row r="20" spans="1:6" ht="16.5">
      <c r="D20" s="982" t="s">
        <v>257</v>
      </c>
      <c r="E20" s="983"/>
      <c r="F20" s="152">
        <v>146</v>
      </c>
    </row>
    <row r="21" spans="1:6" ht="16.5">
      <c r="D21" s="979" t="s">
        <v>258</v>
      </c>
      <c r="E21" s="980"/>
      <c r="F21" s="981"/>
    </row>
    <row r="22" spans="1:6" ht="16.5">
      <c r="D22" s="982" t="s">
        <v>259</v>
      </c>
      <c r="E22" s="983"/>
      <c r="F22" s="152">
        <v>146</v>
      </c>
    </row>
  </sheetData>
  <mergeCells count="40">
    <mergeCell ref="D3:F3"/>
    <mergeCell ref="D10:F10"/>
    <mergeCell ref="D4:E4"/>
    <mergeCell ref="A5:B5"/>
    <mergeCell ref="D5:F5"/>
    <mergeCell ref="D6:E6"/>
    <mergeCell ref="E8:F8"/>
    <mergeCell ref="D21:F21"/>
    <mergeCell ref="D22:E22"/>
    <mergeCell ref="I1:P1"/>
    <mergeCell ref="I3:K3"/>
    <mergeCell ref="N3:P3"/>
    <mergeCell ref="I5:J5"/>
    <mergeCell ref="N5:O5"/>
    <mergeCell ref="I11:J11"/>
    <mergeCell ref="N10:P10"/>
    <mergeCell ref="N11:O11"/>
    <mergeCell ref="I7:K7"/>
    <mergeCell ref="N7:P7"/>
    <mergeCell ref="I8:J8"/>
    <mergeCell ref="N8:O8"/>
    <mergeCell ref="A1:H1"/>
    <mergeCell ref="A3:B3"/>
    <mergeCell ref="I10:K10"/>
    <mergeCell ref="E11:F11"/>
    <mergeCell ref="D12:F12"/>
    <mergeCell ref="E18:F18"/>
    <mergeCell ref="A7:B7"/>
    <mergeCell ref="A12:B12"/>
    <mergeCell ref="A14:B14"/>
    <mergeCell ref="A18:B18"/>
    <mergeCell ref="D15:D16"/>
    <mergeCell ref="E15:F16"/>
    <mergeCell ref="D17:F17"/>
    <mergeCell ref="A16:B16"/>
    <mergeCell ref="D19:F19"/>
    <mergeCell ref="D20:E20"/>
    <mergeCell ref="E13:F13"/>
    <mergeCell ref="D7:F7"/>
    <mergeCell ref="D14:F1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E3DA-03F2-4580-ABB4-1C88E5F3DC44}">
  <sheetPr codeName="Blad43">
    <tabColor theme="3" tint="0.39997558519241921"/>
    <pageSetUpPr fitToPage="1"/>
  </sheetPr>
  <dimension ref="A1:AI34"/>
  <sheetViews>
    <sheetView workbookViewId="0">
      <selection sqref="A1:G1"/>
    </sheetView>
  </sheetViews>
  <sheetFormatPr defaultRowHeight="12.75"/>
  <cols>
    <col min="1" max="1" width="8.1640625" bestFit="1" customWidth="1"/>
    <col min="2" max="2" width="8.1640625" customWidth="1"/>
    <col min="5" max="5" width="16.83203125" customWidth="1"/>
  </cols>
  <sheetData>
    <row r="1" spans="1:35" ht="50.1" customHeight="1">
      <c r="A1" s="1032" t="s">
        <v>248</v>
      </c>
      <c r="B1" s="1033"/>
      <c r="C1" s="1033"/>
      <c r="D1" s="1033"/>
      <c r="E1" s="1033"/>
      <c r="F1" s="1033"/>
      <c r="G1" s="1034"/>
      <c r="I1" s="999" t="s">
        <v>348</v>
      </c>
      <c r="J1" s="1000"/>
      <c r="K1" s="1000"/>
      <c r="L1" s="1000"/>
      <c r="M1" s="1000"/>
      <c r="N1" s="1000"/>
      <c r="O1" s="1000"/>
      <c r="P1" s="1001"/>
    </row>
    <row r="3" spans="1:35" ht="12.75" customHeight="1">
      <c r="A3" s="376"/>
      <c r="B3" s="420"/>
      <c r="C3" s="377"/>
      <c r="E3" s="176"/>
      <c r="F3" s="176"/>
      <c r="G3" s="176"/>
      <c r="L3" s="313"/>
      <c r="M3" s="313"/>
      <c r="Q3" s="313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13"/>
      <c r="AE3" s="313"/>
      <c r="AF3" s="313"/>
      <c r="AG3" s="313"/>
      <c r="AH3" s="313"/>
      <c r="AI3" s="313"/>
    </row>
    <row r="4" spans="1:35" ht="16.5">
      <c r="A4" s="979" t="s">
        <v>249</v>
      </c>
      <c r="B4" s="980"/>
      <c r="C4" s="981"/>
      <c r="E4" s="1025" t="s">
        <v>250</v>
      </c>
      <c r="F4" s="1026"/>
      <c r="G4" s="992"/>
      <c r="I4" s="1002" t="s">
        <v>354</v>
      </c>
      <c r="J4" s="1003"/>
      <c r="K4" s="1004"/>
      <c r="L4" s="313"/>
      <c r="M4" s="313"/>
      <c r="N4" s="986" t="s">
        <v>349</v>
      </c>
      <c r="O4" s="987"/>
      <c r="P4" s="988"/>
      <c r="Q4" s="313"/>
      <c r="R4" s="313"/>
      <c r="S4" s="313"/>
      <c r="T4" s="313"/>
      <c r="U4" s="313"/>
      <c r="V4" s="313"/>
      <c r="W4" s="313"/>
      <c r="X4" s="313"/>
      <c r="Y4" s="313"/>
      <c r="Z4" s="313"/>
      <c r="AA4" s="313"/>
      <c r="AB4" s="313"/>
      <c r="AC4" s="313"/>
      <c r="AD4" s="313"/>
      <c r="AE4" s="313"/>
      <c r="AF4" s="313"/>
      <c r="AG4" s="313"/>
      <c r="AH4" s="313"/>
      <c r="AI4" s="313"/>
    </row>
    <row r="5" spans="1:35" ht="16.5">
      <c r="A5" s="1019">
        <v>908654</v>
      </c>
      <c r="B5" s="1020"/>
      <c r="C5" s="302">
        <f>(('Somfy Brel (2)'!F4/(1+Korting!$B$3)*(1-Korting!$B$2)*Prijsmutaties!$G$9))</f>
        <v>63.094528925619827</v>
      </c>
      <c r="E5" s="1019">
        <v>908655</v>
      </c>
      <c r="F5" s="1020"/>
      <c r="G5" s="302">
        <f>(('Somfy Brel (2)'!F6/(1+Korting!$B$3)*(1-Korting!$B$2)*Prijsmutaties!$G$9))</f>
        <v>96.895169421487594</v>
      </c>
      <c r="I5" s="1005">
        <v>9081770</v>
      </c>
      <c r="J5" s="1006"/>
      <c r="K5" s="302">
        <f>(('Somfy Brel (2)'!K5/(1+Korting!$B$3)*(1-Korting!$B$2)*Prijsmutaties!$G$9))</f>
        <v>45.968871074380161</v>
      </c>
      <c r="L5" s="313"/>
      <c r="M5" s="313"/>
      <c r="N5" s="1005">
        <v>9081773</v>
      </c>
      <c r="O5" s="1006"/>
      <c r="P5" s="302">
        <f>(('Somfy Brel (2)'!P5/(1+Korting!$B$3)*(1-Korting!$B$2)*Prijsmutaties!$G$9))</f>
        <v>51.376973553719004</v>
      </c>
      <c r="Q5" s="313"/>
      <c r="R5" s="313"/>
      <c r="S5" s="313"/>
      <c r="T5" s="313"/>
      <c r="U5" s="313"/>
      <c r="V5" s="313"/>
      <c r="W5" s="313"/>
      <c r="X5" s="313"/>
      <c r="Y5" s="313"/>
      <c r="Z5" s="313"/>
      <c r="AA5" s="313"/>
      <c r="AB5" s="313"/>
      <c r="AC5" s="313"/>
      <c r="AD5" s="313"/>
      <c r="AE5" s="313"/>
      <c r="AF5" s="313"/>
      <c r="AG5" s="313"/>
      <c r="AH5" s="313"/>
      <c r="AI5" s="313"/>
    </row>
    <row r="6" spans="1:35" ht="18.75" customHeight="1">
      <c r="A6" s="378"/>
      <c r="B6" s="417"/>
      <c r="C6" s="379"/>
      <c r="E6" s="176"/>
      <c r="F6" s="176"/>
      <c r="G6" s="176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  <c r="AH6" s="313"/>
      <c r="AI6" s="313"/>
    </row>
    <row r="7" spans="1:35" ht="16.5">
      <c r="A7" s="991" t="s">
        <v>510</v>
      </c>
      <c r="B7" s="1026"/>
      <c r="C7" s="992"/>
      <c r="E7" s="1035" t="s">
        <v>251</v>
      </c>
      <c r="F7" s="1036"/>
      <c r="G7" s="1037"/>
      <c r="I7" s="986" t="s">
        <v>350</v>
      </c>
      <c r="J7" s="987"/>
      <c r="K7" s="988"/>
      <c r="L7" s="313"/>
      <c r="M7" s="313"/>
      <c r="N7" s="986" t="s">
        <v>351</v>
      </c>
      <c r="O7" s="987"/>
      <c r="P7" s="988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1"/>
      <c r="AC7" s="311"/>
      <c r="AD7" s="311"/>
      <c r="AE7" s="311"/>
      <c r="AF7" s="311"/>
      <c r="AG7" s="311"/>
      <c r="AH7" s="311"/>
      <c r="AI7" s="311"/>
    </row>
    <row r="8" spans="1:35" ht="16.5">
      <c r="A8" s="1019">
        <v>908668</v>
      </c>
      <c r="B8" s="1020"/>
      <c r="C8" s="302">
        <f>(('Somfy Brel (2)'!B8/(1+Korting!$B$3)*(1-Korting!$B$2)*Prijsmutaties!$G$9))</f>
        <v>164.04577520661155</v>
      </c>
      <c r="E8" s="1022">
        <v>908656</v>
      </c>
      <c r="F8" s="1024"/>
      <c r="G8" s="419">
        <f>(('Somfy Brel (2)'!E8/(1+Korting!$B$3)*(1-Korting!$B$2)*Prijsmutaties!$G$9))</f>
        <v>101.85259669421487</v>
      </c>
      <c r="I8" s="1005">
        <v>9081701</v>
      </c>
      <c r="J8" s="1006"/>
      <c r="K8" s="302">
        <f>(('Somfy Brel (2)'!K8/(1+Korting!$B$3)*(1-Korting!$B$2)*Prijsmutaties!$G$9))</f>
        <v>45.968871074380161</v>
      </c>
      <c r="L8" s="313"/>
      <c r="M8" s="313"/>
      <c r="N8" s="1005">
        <v>9081702</v>
      </c>
      <c r="O8" s="1006"/>
      <c r="P8" s="302">
        <f>(('Somfy Brel (2)'!P8/(1+Korting!$B$3)*(1-Korting!$B$2)*Prijsmutaties!$G$9))</f>
        <v>51.376973553719004</v>
      </c>
      <c r="Q8" s="311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1"/>
      <c r="AC8" s="311"/>
      <c r="AD8" s="311"/>
      <c r="AE8" s="311"/>
      <c r="AF8" s="311"/>
      <c r="AG8" s="311"/>
      <c r="AH8" s="311"/>
      <c r="AI8" s="311"/>
    </row>
    <row r="9" spans="1:35" ht="12.75" customHeight="1">
      <c r="I9" s="313"/>
      <c r="J9" s="313"/>
      <c r="K9" s="313"/>
      <c r="L9" s="313"/>
      <c r="M9" s="313"/>
      <c r="N9" s="311"/>
      <c r="O9" s="311"/>
      <c r="P9" s="311"/>
      <c r="Q9" s="313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1"/>
      <c r="AC9" s="311"/>
      <c r="AD9" s="311"/>
      <c r="AE9" s="311"/>
      <c r="AF9" s="311"/>
      <c r="AG9" s="311"/>
      <c r="AH9" s="311"/>
      <c r="AI9" s="311"/>
    </row>
    <row r="10" spans="1:35" ht="16.5">
      <c r="A10" s="989" t="s">
        <v>471</v>
      </c>
      <c r="B10" s="1021"/>
      <c r="C10" s="990"/>
      <c r="E10" s="989" t="s">
        <v>476</v>
      </c>
      <c r="F10" s="1021"/>
      <c r="G10" s="990"/>
      <c r="I10" s="986" t="s">
        <v>352</v>
      </c>
      <c r="J10" s="987"/>
      <c r="K10" s="988"/>
      <c r="L10" s="313"/>
      <c r="M10" s="313"/>
      <c r="N10" s="986" t="s">
        <v>353</v>
      </c>
      <c r="O10" s="987"/>
      <c r="P10" s="988"/>
      <c r="Q10" s="313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1"/>
      <c r="AC10" s="311"/>
      <c r="AD10" s="311"/>
      <c r="AE10" s="311"/>
      <c r="AF10" s="311"/>
      <c r="AG10" s="311"/>
      <c r="AH10" s="311"/>
      <c r="AI10" s="311"/>
    </row>
    <row r="11" spans="1:35" ht="16.5">
      <c r="A11" s="1017">
        <v>9081660</v>
      </c>
      <c r="B11" s="1018"/>
      <c r="C11" s="301">
        <f>(('Somfy Brel (2)'!B13/(1+Korting!$B$3)*(1-Korting!$B$2)*Prijsmutaties!$G$9))</f>
        <v>63.094528925619827</v>
      </c>
      <c r="E11" s="1019">
        <v>9081664</v>
      </c>
      <c r="F11" s="1020"/>
      <c r="G11" s="302">
        <f>(('Somfy Brel (2)'!B15/(1+Korting!$B$3)*(1-Korting!$B$2)*Prijsmutaties!$G$9))</f>
        <v>79.769511570247928</v>
      </c>
      <c r="I11" s="1005">
        <v>9081927</v>
      </c>
      <c r="J11" s="1006"/>
      <c r="K11" s="302">
        <f>(('Somfy Brel (2)'!K11/(1+Korting!$B$3)*(1-Korting!$B$2)*Prijsmutaties!$G$9))</f>
        <v>133.85053636363637</v>
      </c>
      <c r="L11" s="313"/>
      <c r="M11" s="313"/>
      <c r="N11" s="1005">
        <v>9081925</v>
      </c>
      <c r="O11" s="1006"/>
      <c r="P11" s="302">
        <f>(('Somfy Brel (2)'!P11/(1+Korting!$B$3)*(1-Korting!$B$2)*Prijsmutaties!$G$9))</f>
        <v>25.237811570247931</v>
      </c>
      <c r="Q11" s="313"/>
      <c r="R11" s="313"/>
      <c r="S11" s="313"/>
      <c r="T11" s="313"/>
      <c r="U11" s="313"/>
      <c r="V11" s="313"/>
      <c r="W11" s="313"/>
      <c r="X11" s="313"/>
      <c r="Y11" s="313"/>
      <c r="Z11" s="313"/>
      <c r="AA11" s="313"/>
      <c r="AB11" s="313"/>
      <c r="AC11" s="313"/>
      <c r="AD11" s="313"/>
      <c r="AE11" s="313"/>
      <c r="AF11" s="313"/>
      <c r="AG11" s="313"/>
      <c r="AH11" s="313"/>
      <c r="AI11" s="313"/>
    </row>
    <row r="12" spans="1:35">
      <c r="I12" s="313"/>
      <c r="J12" s="313"/>
      <c r="K12" s="313"/>
      <c r="L12" s="313"/>
      <c r="M12" s="313"/>
      <c r="N12" s="313"/>
      <c r="O12" s="313"/>
      <c r="P12" s="313"/>
      <c r="Q12" s="311"/>
      <c r="R12" s="313"/>
      <c r="S12" s="313"/>
      <c r="T12" s="313"/>
      <c r="U12" s="313"/>
      <c r="V12" s="313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313"/>
      <c r="AI12" s="313"/>
    </row>
    <row r="13" spans="1:35" ht="16.5" customHeight="1">
      <c r="A13" s="989" t="s">
        <v>475</v>
      </c>
      <c r="B13" s="1021"/>
      <c r="C13" s="990"/>
      <c r="E13" s="989" t="s">
        <v>474</v>
      </c>
      <c r="F13" s="1021"/>
      <c r="G13" s="990"/>
      <c r="L13" s="313"/>
      <c r="M13" s="313"/>
      <c r="N13" s="313"/>
      <c r="O13" s="313"/>
      <c r="P13" s="313"/>
      <c r="Q13" s="311"/>
      <c r="R13" s="313"/>
      <c r="S13" s="313"/>
      <c r="T13" s="313"/>
      <c r="U13" s="313"/>
      <c r="V13" s="313"/>
      <c r="W13" s="313"/>
      <c r="X13" s="313"/>
      <c r="Y13" s="313"/>
      <c r="Z13" s="313"/>
      <c r="AA13" s="313"/>
      <c r="AB13" s="313"/>
      <c r="AC13" s="313"/>
      <c r="AD13" s="313"/>
      <c r="AE13" s="313"/>
      <c r="AF13" s="313"/>
      <c r="AG13" s="313"/>
      <c r="AH13" s="313"/>
      <c r="AI13" s="313"/>
    </row>
    <row r="14" spans="1:35" ht="12.75" customHeight="1">
      <c r="A14" s="1017">
        <v>9081661</v>
      </c>
      <c r="B14" s="1018"/>
      <c r="C14" s="301">
        <f>(('Somfy Brel (2)'!B17/(1+Korting!$B$3)*(1-Korting!$B$2)*Prijsmutaties!$G$9))</f>
        <v>79.769511570247928</v>
      </c>
      <c r="E14" s="1019">
        <v>9081663</v>
      </c>
      <c r="F14" s="1020"/>
      <c r="G14" s="302">
        <f>(('Somfy Brel (2)'!B19/(1+Korting!$B$3)*(1-Korting!$B$2)*Prijsmutaties!$G$9))</f>
        <v>96.895169421487594</v>
      </c>
      <c r="L14" s="313"/>
      <c r="M14" s="313"/>
      <c r="N14" s="313"/>
      <c r="O14" s="313"/>
      <c r="P14" s="313"/>
      <c r="Q14" s="313"/>
      <c r="R14" s="313"/>
      <c r="S14" s="313"/>
      <c r="T14" s="313"/>
      <c r="U14" s="313"/>
      <c r="V14" s="313"/>
      <c r="W14" s="313"/>
      <c r="X14" s="313"/>
      <c r="Y14" s="313"/>
      <c r="Z14" s="313"/>
      <c r="AA14" s="313"/>
      <c r="AB14" s="313"/>
      <c r="AC14" s="313"/>
      <c r="AD14" s="313"/>
      <c r="AE14" s="313"/>
      <c r="AF14" s="313"/>
      <c r="AG14" s="313"/>
      <c r="AH14" s="313"/>
      <c r="AI14" s="313"/>
    </row>
    <row r="15" spans="1:35" ht="12.75" customHeight="1">
      <c r="L15" s="624"/>
      <c r="M15" s="624"/>
      <c r="N15" s="624"/>
      <c r="O15" s="624"/>
      <c r="P15" s="624"/>
      <c r="Q15" s="313"/>
      <c r="R15" s="313"/>
      <c r="S15" s="313"/>
      <c r="T15" s="313"/>
      <c r="U15" s="313"/>
      <c r="V15" s="313"/>
      <c r="W15" s="313"/>
      <c r="X15" s="313"/>
      <c r="Y15" s="313"/>
      <c r="Z15" s="313"/>
      <c r="AA15" s="313"/>
      <c r="AB15" s="313"/>
      <c r="AC15" s="313"/>
      <c r="AD15" s="313"/>
      <c r="AE15" s="313"/>
      <c r="AF15" s="313"/>
      <c r="AG15" s="313"/>
      <c r="AH15" s="313"/>
      <c r="AI15" s="313"/>
    </row>
    <row r="16" spans="1:35" ht="12.75" customHeight="1">
      <c r="A16" s="1014" t="s">
        <v>253</v>
      </c>
      <c r="B16" s="1015"/>
      <c r="C16" s="1016"/>
      <c r="E16" s="1012" t="s">
        <v>255</v>
      </c>
      <c r="F16" s="1013"/>
      <c r="G16" s="981"/>
      <c r="Q16" s="313"/>
      <c r="R16" s="313"/>
      <c r="S16" s="313"/>
      <c r="T16" s="313"/>
      <c r="U16" s="313"/>
      <c r="V16" s="313"/>
      <c r="W16" s="313"/>
      <c r="X16" s="313"/>
      <c r="Y16" s="313"/>
      <c r="Z16" s="313"/>
      <c r="AA16" s="313"/>
      <c r="AB16" s="313"/>
      <c r="AC16" s="313"/>
      <c r="AD16" s="313"/>
      <c r="AE16" s="313"/>
      <c r="AF16" s="313"/>
      <c r="AG16" s="313"/>
      <c r="AH16" s="313"/>
      <c r="AI16" s="313"/>
    </row>
    <row r="17" spans="1:35" ht="16.5">
      <c r="A17" s="1022">
        <v>908671</v>
      </c>
      <c r="B17" s="1024"/>
      <c r="C17" s="419">
        <f>(('Somfy Brel (2)'!E13/(1+Korting!$B$3)*(1-Korting!$B$2)*Prijsmutaties!$G$9))</f>
        <v>197.39574049586776</v>
      </c>
      <c r="E17" s="1022">
        <v>908665</v>
      </c>
      <c r="F17" s="1024"/>
      <c r="G17" s="418">
        <f>(('Somfy Brel (2)'!E18/(1+Korting!$B$3)*(1-Korting!$B$2)*Prijsmutaties!$G$9))</f>
        <v>173.05927933884297</v>
      </c>
      <c r="Q17" s="313"/>
      <c r="R17" s="313"/>
      <c r="S17" s="313"/>
      <c r="T17" s="313"/>
      <c r="U17" s="313"/>
      <c r="V17" s="313"/>
      <c r="W17" s="313"/>
      <c r="X17" s="313"/>
      <c r="Y17" s="313"/>
      <c r="Z17" s="313"/>
      <c r="AA17" s="313"/>
      <c r="AB17" s="313"/>
      <c r="AC17" s="313"/>
      <c r="AD17" s="313"/>
      <c r="AE17" s="313"/>
      <c r="AF17" s="313"/>
      <c r="AG17" s="313"/>
      <c r="AH17" s="313"/>
      <c r="AI17" s="313"/>
    </row>
    <row r="18" spans="1:35" ht="12.75" customHeight="1">
      <c r="Q18" s="313"/>
      <c r="R18" s="314"/>
      <c r="S18" s="314"/>
      <c r="T18" s="314"/>
      <c r="U18" s="314"/>
      <c r="V18" s="314"/>
      <c r="W18" s="314"/>
      <c r="X18" s="314"/>
      <c r="Y18" s="314"/>
      <c r="Z18" s="314"/>
      <c r="AA18" s="314"/>
      <c r="AB18" s="314"/>
      <c r="AC18" s="314"/>
      <c r="AD18" s="314"/>
      <c r="AE18" s="314"/>
      <c r="AF18" s="314"/>
      <c r="AG18" s="314"/>
      <c r="AH18" s="314"/>
      <c r="AI18" s="314"/>
    </row>
    <row r="19" spans="1:35" ht="16.5">
      <c r="A19" s="1014" t="s">
        <v>254</v>
      </c>
      <c r="B19" s="1015"/>
      <c r="C19" s="1016"/>
      <c r="E19" s="1029" t="s">
        <v>256</v>
      </c>
      <c r="F19" s="1030"/>
      <c r="G19" s="1031"/>
      <c r="Q19" s="313"/>
      <c r="R19" s="311"/>
      <c r="S19" s="311"/>
      <c r="T19" s="311"/>
      <c r="U19" s="311"/>
      <c r="V19" s="311"/>
      <c r="W19" s="311"/>
      <c r="X19" s="311"/>
      <c r="Y19" s="311"/>
      <c r="Z19" s="311"/>
      <c r="AA19" s="311"/>
      <c r="AB19" s="311"/>
      <c r="AC19" s="311"/>
      <c r="AD19" s="311"/>
      <c r="AE19" s="311"/>
      <c r="AF19" s="311"/>
      <c r="AG19" s="311"/>
      <c r="AH19" s="311"/>
      <c r="AI19" s="311"/>
    </row>
    <row r="20" spans="1:35" ht="16.5">
      <c r="A20" s="1022">
        <v>908672</v>
      </c>
      <c r="B20" s="1023"/>
      <c r="C20" s="421">
        <f>(('Somfy Brel (2)'!E15/(1+Korting!$B$3)*(1-Korting!$B$2)*Prijsmutaties!$G$9))</f>
        <v>329.89425123966942</v>
      </c>
      <c r="E20" s="1027" t="s">
        <v>257</v>
      </c>
      <c r="F20" s="1028"/>
      <c r="G20" s="302">
        <f>(('Somfy Brel (2)'!F20/(1+Korting!$B$3)*(1-Korting!$B$2)*Prijsmutaties!$G$9))</f>
        <v>131.5971603305785</v>
      </c>
      <c r="Q20" s="313"/>
      <c r="R20" s="311"/>
      <c r="S20" s="311"/>
      <c r="T20" s="311"/>
      <c r="U20" s="311"/>
      <c r="V20" s="311"/>
      <c r="W20" s="311"/>
      <c r="X20" s="311"/>
      <c r="Y20" s="311"/>
      <c r="Z20" s="311"/>
      <c r="AA20" s="311"/>
      <c r="AB20" s="311"/>
      <c r="AC20" s="311"/>
      <c r="AD20" s="311"/>
      <c r="AE20" s="311"/>
      <c r="AF20" s="311"/>
      <c r="AG20" s="311"/>
      <c r="AH20" s="311"/>
      <c r="AI20" s="311"/>
    </row>
    <row r="21" spans="1:35" ht="16.5">
      <c r="E21" s="1025" t="s">
        <v>258</v>
      </c>
      <c r="F21" s="1026"/>
      <c r="G21" s="992"/>
      <c r="Q21" s="313"/>
      <c r="R21" s="311"/>
      <c r="S21" s="311"/>
      <c r="T21" s="311"/>
      <c r="U21" s="311"/>
      <c r="V21" s="311"/>
      <c r="W21" s="311"/>
      <c r="X21" s="311"/>
      <c r="Y21" s="311"/>
      <c r="Z21" s="311"/>
      <c r="AA21" s="311"/>
      <c r="AB21" s="311"/>
      <c r="AC21" s="311"/>
      <c r="AD21" s="311"/>
      <c r="AE21" s="311"/>
      <c r="AF21" s="311"/>
      <c r="AG21" s="311"/>
      <c r="AH21" s="311"/>
      <c r="AI21" s="311"/>
    </row>
    <row r="22" spans="1:35" ht="16.5">
      <c r="E22" s="1027" t="s">
        <v>259</v>
      </c>
      <c r="F22" s="1028"/>
      <c r="G22" s="302">
        <f>(('Somfy Brel (2)'!F22/(1+Korting!$B$3)*(1-Korting!$B$2)*Prijsmutaties!$G$9))</f>
        <v>131.5971603305785</v>
      </c>
      <c r="Q22" s="314"/>
      <c r="R22" s="311"/>
      <c r="S22" s="311"/>
      <c r="T22" s="311"/>
      <c r="U22" s="311"/>
      <c r="V22" s="311"/>
      <c r="W22" s="311"/>
      <c r="X22" s="311"/>
      <c r="Y22" s="311"/>
      <c r="Z22" s="311"/>
      <c r="AA22" s="311"/>
      <c r="AB22" s="311"/>
      <c r="AC22" s="311"/>
      <c r="AD22" s="311"/>
      <c r="AE22" s="311"/>
      <c r="AF22" s="311"/>
      <c r="AG22" s="311"/>
      <c r="AH22" s="311"/>
      <c r="AI22" s="311"/>
    </row>
    <row r="23" spans="1:35">
      <c r="Q23" s="311"/>
      <c r="R23" s="311"/>
      <c r="S23" s="311"/>
      <c r="T23" s="311"/>
      <c r="U23" s="311"/>
      <c r="V23" s="311"/>
      <c r="W23" s="311"/>
      <c r="X23" s="311"/>
      <c r="Y23" s="311"/>
      <c r="Z23" s="311"/>
      <c r="AA23" s="311"/>
      <c r="AB23" s="311"/>
      <c r="AC23" s="311"/>
      <c r="AD23" s="311"/>
      <c r="AE23" s="311"/>
      <c r="AF23" s="311"/>
      <c r="AG23" s="311"/>
      <c r="AH23" s="311"/>
      <c r="AI23" s="311"/>
    </row>
    <row r="24" spans="1:35"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1"/>
      <c r="AC24" s="311"/>
      <c r="AD24" s="311"/>
      <c r="AE24" s="311"/>
      <c r="AF24" s="311"/>
      <c r="AG24" s="311"/>
      <c r="AH24" s="311"/>
      <c r="AI24" s="311"/>
    </row>
    <row r="25" spans="1:35" ht="12.75" customHeight="1">
      <c r="R25" s="313"/>
      <c r="S25" s="313"/>
      <c r="T25" s="313"/>
      <c r="U25" s="313"/>
      <c r="V25" s="313"/>
      <c r="W25" s="313"/>
      <c r="X25" s="313"/>
      <c r="Y25" s="313"/>
      <c r="Z25" s="313"/>
      <c r="AA25" s="313"/>
      <c r="AB25" s="313"/>
      <c r="AC25" s="313"/>
      <c r="AD25" s="313"/>
      <c r="AE25" s="313"/>
      <c r="AF25" s="313"/>
      <c r="AG25" s="313"/>
      <c r="AH25" s="313"/>
      <c r="AI25" s="313"/>
    </row>
    <row r="26" spans="1:35" ht="12.75" customHeight="1">
      <c r="R26" s="313"/>
      <c r="S26" s="313"/>
      <c r="T26" s="313"/>
      <c r="U26" s="313"/>
      <c r="V26" s="313"/>
      <c r="W26" s="313"/>
      <c r="X26" s="313"/>
      <c r="Y26" s="313"/>
      <c r="Z26" s="313"/>
      <c r="AA26" s="313"/>
      <c r="AB26" s="313"/>
      <c r="AC26" s="313"/>
      <c r="AD26" s="313"/>
      <c r="AE26" s="313"/>
      <c r="AF26" s="313"/>
      <c r="AG26" s="313"/>
      <c r="AH26" s="313"/>
      <c r="AI26" s="313"/>
    </row>
    <row r="27" spans="1:35"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</row>
    <row r="28" spans="1:35"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1"/>
      <c r="AE28" s="311"/>
      <c r="AF28" s="311"/>
      <c r="AG28" s="311"/>
      <c r="AH28" s="311"/>
      <c r="AI28" s="311"/>
    </row>
    <row r="29" spans="1:35"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1"/>
      <c r="AC29" s="311"/>
      <c r="AD29" s="311"/>
      <c r="AE29" s="311"/>
      <c r="AF29" s="311"/>
      <c r="AG29" s="311"/>
      <c r="AH29" s="311"/>
      <c r="AI29" s="311"/>
    </row>
    <row r="30" spans="1:35">
      <c r="R30" s="313"/>
      <c r="S30" s="313"/>
      <c r="T30" s="313"/>
      <c r="U30" s="313"/>
      <c r="V30" s="313"/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3"/>
      <c r="AI30" s="313"/>
    </row>
    <row r="31" spans="1:35" ht="12.75" customHeight="1">
      <c r="R31" s="313"/>
      <c r="S31" s="313"/>
      <c r="T31" s="313"/>
      <c r="U31" s="313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3"/>
      <c r="AI31" s="313"/>
    </row>
    <row r="32" spans="1:35">
      <c r="R32" s="313"/>
      <c r="S32" s="313"/>
      <c r="T32" s="313"/>
      <c r="U32" s="313"/>
      <c r="V32" s="313"/>
      <c r="W32" s="313"/>
      <c r="X32" s="313"/>
      <c r="Y32" s="313"/>
      <c r="Z32" s="313"/>
      <c r="AA32" s="313"/>
      <c r="AB32" s="313"/>
      <c r="AC32" s="313"/>
      <c r="AD32" s="313"/>
      <c r="AE32" s="313"/>
      <c r="AF32" s="313"/>
      <c r="AG32" s="313"/>
      <c r="AH32" s="313"/>
      <c r="AI32" s="313"/>
    </row>
    <row r="33" spans="18:35" ht="12.75" customHeight="1"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8:35" ht="12.75" customHeight="1"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</sheetData>
  <sheetProtection algorithmName="SHA-512" hashValue="8xQ+azEEuzBRB1enuUiuI9fjHuE5qlbHLcpg1RWXAm3n5GVFegHsW4FFAN8EVx9jomaJNIzUsx9SBgyiht09zg==" saltValue="T4rhiLiZcsSNSfjMM+28bQ==" spinCount="100000" sheet="1" objects="1" scenarios="1"/>
  <mergeCells count="42">
    <mergeCell ref="I1:P1"/>
    <mergeCell ref="E8:F8"/>
    <mergeCell ref="A1:G1"/>
    <mergeCell ref="A8:B8"/>
    <mergeCell ref="I5:J5"/>
    <mergeCell ref="I4:K4"/>
    <mergeCell ref="I7:K7"/>
    <mergeCell ref="I8:J8"/>
    <mergeCell ref="N8:O8"/>
    <mergeCell ref="E5:F5"/>
    <mergeCell ref="E7:G7"/>
    <mergeCell ref="A7:C7"/>
    <mergeCell ref="A4:C4"/>
    <mergeCell ref="A5:B5"/>
    <mergeCell ref="E4:G4"/>
    <mergeCell ref="N4:P4"/>
    <mergeCell ref="E21:G21"/>
    <mergeCell ref="E22:F22"/>
    <mergeCell ref="E19:G19"/>
    <mergeCell ref="E20:F20"/>
    <mergeCell ref="E17:F17"/>
    <mergeCell ref="A20:B20"/>
    <mergeCell ref="A17:B17"/>
    <mergeCell ref="A19:C19"/>
    <mergeCell ref="L15:M15"/>
    <mergeCell ref="N15:P15"/>
    <mergeCell ref="N5:O5"/>
    <mergeCell ref="N7:P7"/>
    <mergeCell ref="I10:K10"/>
    <mergeCell ref="E16:G16"/>
    <mergeCell ref="A16:C16"/>
    <mergeCell ref="I11:J11"/>
    <mergeCell ref="N10:P10"/>
    <mergeCell ref="N11:O11"/>
    <mergeCell ref="A14:B14"/>
    <mergeCell ref="E14:F14"/>
    <mergeCell ref="A10:C10"/>
    <mergeCell ref="E10:G10"/>
    <mergeCell ref="A11:B11"/>
    <mergeCell ref="E11:F11"/>
    <mergeCell ref="A13:C13"/>
    <mergeCell ref="E13:G13"/>
  </mergeCells>
  <pageMargins left="0.70866141732283472" right="0.70866141732283472" top="0.74803149606299213" bottom="0.74803149606299213" header="0.31496062992125984" footer="0.31496062992125984"/>
  <pageSetup paperSize="9" scale="63" orientation="portrait" r:id="rId1"/>
  <headerFooter>
    <oddFooter>&amp;L&amp;D&amp;C&amp;F
Tabblad &amp;A&amp;RInkoopprijslijst excl. BTW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DF73-EFDE-43DF-B994-D33B5AFBDDA9}">
  <sheetPr codeName="Blad2">
    <tabColor rgb="FFFFFF00"/>
  </sheetPr>
  <dimension ref="A1:P9"/>
  <sheetViews>
    <sheetView workbookViewId="0">
      <selection activeCell="D6" sqref="D6"/>
    </sheetView>
  </sheetViews>
  <sheetFormatPr defaultRowHeight="12.75"/>
  <cols>
    <col min="1" max="1" width="43.5" bestFit="1" customWidth="1"/>
    <col min="2" max="2" width="13.6640625" customWidth="1"/>
    <col min="3" max="3" width="28.6640625" bestFit="1" customWidth="1"/>
    <col min="4" max="4" width="17.33203125" bestFit="1" customWidth="1"/>
    <col min="5" max="5" width="12.1640625" bestFit="1" customWidth="1"/>
    <col min="6" max="6" width="15" bestFit="1" customWidth="1"/>
    <col min="7" max="7" width="22.1640625" bestFit="1" customWidth="1"/>
    <col min="8" max="8" width="28.6640625" bestFit="1" customWidth="1"/>
    <col min="9" max="9" width="15.33203125" bestFit="1" customWidth="1"/>
    <col min="10" max="10" width="12.33203125" bestFit="1" customWidth="1"/>
    <col min="11" max="11" width="12.1640625" customWidth="1"/>
    <col min="12" max="12" width="17.33203125" bestFit="1" customWidth="1"/>
    <col min="13" max="13" width="23" customWidth="1"/>
    <col min="14" max="15" width="12.1640625" bestFit="1" customWidth="1"/>
    <col min="16" max="16" width="12" bestFit="1" customWidth="1"/>
  </cols>
  <sheetData>
    <row r="1" spans="1:16" ht="50.25" customHeight="1" thickBot="1">
      <c r="A1" s="224" t="s">
        <v>284</v>
      </c>
      <c r="B1" s="221" t="s">
        <v>286</v>
      </c>
      <c r="C1" s="221" t="s">
        <v>288</v>
      </c>
      <c r="D1" s="221" t="s">
        <v>287</v>
      </c>
      <c r="E1" s="221" t="s">
        <v>289</v>
      </c>
      <c r="F1" s="221" t="s">
        <v>426</v>
      </c>
      <c r="G1" s="221" t="s">
        <v>372</v>
      </c>
      <c r="H1" s="491" t="s">
        <v>428</v>
      </c>
      <c r="I1" s="221" t="s">
        <v>389</v>
      </c>
      <c r="J1" s="221" t="s">
        <v>427</v>
      </c>
      <c r="K1" s="491" t="s">
        <v>440</v>
      </c>
      <c r="L1" s="221" t="s">
        <v>287</v>
      </c>
      <c r="M1" s="491" t="s">
        <v>439</v>
      </c>
      <c r="N1" s="221" t="s">
        <v>419</v>
      </c>
      <c r="O1" t="s">
        <v>461</v>
      </c>
      <c r="P1" s="491" t="s">
        <v>513</v>
      </c>
    </row>
    <row r="2" spans="1:16" ht="23.25">
      <c r="A2" s="223">
        <v>2023</v>
      </c>
      <c r="B2" s="351">
        <v>1.0609999999999999</v>
      </c>
      <c r="C2" s="351">
        <v>1.0609999999999999</v>
      </c>
      <c r="D2" s="351">
        <f>1.035*1.045</f>
        <v>1.081575</v>
      </c>
      <c r="E2" s="351">
        <f>1.035*1.04</f>
        <v>1.0764</v>
      </c>
      <c r="F2" s="351">
        <f>1.035*1.04</f>
        <v>1.0764</v>
      </c>
      <c r="G2" s="351">
        <v>1.06</v>
      </c>
      <c r="H2" s="351">
        <v>1.0609999999999999</v>
      </c>
      <c r="I2" s="351">
        <v>1.0609999999999999</v>
      </c>
      <c r="J2" s="351">
        <v>1.0609999999999999</v>
      </c>
      <c r="K2" s="351">
        <v>1.0609999999999999</v>
      </c>
      <c r="L2" s="351">
        <f>1.035*1.045</f>
        <v>1.081575</v>
      </c>
      <c r="M2" s="351">
        <f>1.035*1.045</f>
        <v>1.081575</v>
      </c>
      <c r="N2" s="351">
        <v>1.0609999999999999</v>
      </c>
      <c r="O2" s="351">
        <v>1</v>
      </c>
      <c r="P2" s="351">
        <v>1</v>
      </c>
    </row>
    <row r="3" spans="1:16" ht="23.25">
      <c r="A3" s="223">
        <v>2024</v>
      </c>
      <c r="B3" s="351">
        <v>1.01</v>
      </c>
      <c r="C3" s="351">
        <v>1.02</v>
      </c>
      <c r="D3" s="351">
        <v>1.02</v>
      </c>
      <c r="E3" s="351">
        <v>1.02</v>
      </c>
      <c r="F3" s="351">
        <v>1.02</v>
      </c>
      <c r="G3" s="351">
        <v>1</v>
      </c>
      <c r="H3" s="351">
        <v>1.03</v>
      </c>
      <c r="I3" s="351">
        <v>1.02</v>
      </c>
      <c r="J3" s="351">
        <v>1.01</v>
      </c>
      <c r="K3" s="351">
        <v>1.02</v>
      </c>
      <c r="L3" s="351">
        <v>1</v>
      </c>
      <c r="M3" s="351">
        <v>1</v>
      </c>
      <c r="N3" s="351">
        <v>1.01</v>
      </c>
      <c r="O3" s="351">
        <v>1</v>
      </c>
      <c r="P3" s="351">
        <v>1</v>
      </c>
    </row>
    <row r="4" spans="1:16" ht="23.25">
      <c r="A4" s="223">
        <v>2025</v>
      </c>
      <c r="B4" s="351">
        <v>1.02</v>
      </c>
      <c r="C4" s="351">
        <v>1.02</v>
      </c>
      <c r="D4" s="351">
        <v>1.02</v>
      </c>
      <c r="E4" s="351">
        <v>1.02</v>
      </c>
      <c r="F4" s="351">
        <v>1.04</v>
      </c>
      <c r="G4" s="351">
        <v>1</v>
      </c>
      <c r="H4" s="351">
        <v>1.02</v>
      </c>
      <c r="I4" s="351">
        <v>0.9</v>
      </c>
      <c r="J4" s="351">
        <v>1</v>
      </c>
      <c r="K4" s="351">
        <v>1</v>
      </c>
      <c r="L4" s="351">
        <v>1.02</v>
      </c>
      <c r="M4" s="351">
        <v>1</v>
      </c>
      <c r="N4" s="351">
        <v>1.02</v>
      </c>
      <c r="O4" s="351">
        <v>1</v>
      </c>
      <c r="P4" s="351">
        <v>1</v>
      </c>
    </row>
    <row r="5" spans="1:16" ht="23.25">
      <c r="A5" s="223">
        <v>2026</v>
      </c>
      <c r="B5" s="351">
        <v>1.0288999999999999</v>
      </c>
      <c r="C5" s="351">
        <v>1.0288999999999999</v>
      </c>
      <c r="D5" s="351">
        <v>1.0288999999999999</v>
      </c>
      <c r="E5" s="351">
        <v>1.0288999999999999</v>
      </c>
      <c r="F5" s="351">
        <v>1.0288999999999999</v>
      </c>
      <c r="G5" s="351">
        <v>1.0288999999999999</v>
      </c>
      <c r="H5" s="351">
        <v>1.0288999999999999</v>
      </c>
      <c r="I5" s="351">
        <v>1.0288999999999999</v>
      </c>
      <c r="J5" s="351">
        <v>1.0288999999999999</v>
      </c>
      <c r="K5" s="351">
        <v>1.0288999999999999</v>
      </c>
      <c r="L5" s="351">
        <v>1.0288999999999999</v>
      </c>
      <c r="M5" s="351">
        <v>1.0288999999999999</v>
      </c>
      <c r="N5" s="351">
        <v>1.0288999999999999</v>
      </c>
      <c r="O5" s="351">
        <v>1.0288999999999999</v>
      </c>
      <c r="P5" s="351">
        <v>1.0288999999999999</v>
      </c>
    </row>
    <row r="6" spans="1:16" ht="23.25">
      <c r="A6" s="223" t="s">
        <v>512</v>
      </c>
      <c r="B6" s="523">
        <v>1.0449999999999999</v>
      </c>
      <c r="C6" s="523">
        <v>1.0549999999999999</v>
      </c>
      <c r="D6" s="523">
        <v>1.0408999999999999</v>
      </c>
      <c r="E6" s="523">
        <v>1</v>
      </c>
      <c r="F6" s="523">
        <v>1</v>
      </c>
      <c r="G6" s="523">
        <v>1</v>
      </c>
      <c r="H6" s="523">
        <v>1.0549999999999999</v>
      </c>
      <c r="I6" s="523">
        <v>1.0549999999999999</v>
      </c>
      <c r="J6" s="523">
        <v>1</v>
      </c>
      <c r="K6" s="523">
        <v>1</v>
      </c>
      <c r="L6" s="523">
        <v>1.04</v>
      </c>
      <c r="M6" s="523">
        <v>1</v>
      </c>
      <c r="N6" s="523">
        <v>1.0449999999999999</v>
      </c>
      <c r="O6" s="523">
        <v>1.0449999999999999</v>
      </c>
      <c r="P6" s="523">
        <v>1</v>
      </c>
    </row>
    <row r="7" spans="1:16" ht="23.25">
      <c r="A7" s="223">
        <v>2027</v>
      </c>
      <c r="B7" s="351">
        <v>1</v>
      </c>
      <c r="C7" s="351">
        <v>1</v>
      </c>
      <c r="D7" s="351">
        <v>1</v>
      </c>
      <c r="E7" s="351">
        <v>1</v>
      </c>
      <c r="F7" s="351">
        <v>1</v>
      </c>
      <c r="G7" s="351">
        <v>1</v>
      </c>
      <c r="H7" s="351">
        <v>1</v>
      </c>
      <c r="I7" s="351">
        <v>1</v>
      </c>
      <c r="J7" s="351">
        <v>1</v>
      </c>
      <c r="K7" s="351">
        <v>1</v>
      </c>
      <c r="L7" s="351">
        <v>1</v>
      </c>
      <c r="M7" s="351">
        <v>1</v>
      </c>
      <c r="N7" s="351">
        <v>1</v>
      </c>
      <c r="O7" s="351">
        <v>1</v>
      </c>
      <c r="P7" s="351">
        <v>1</v>
      </c>
    </row>
    <row r="8" spans="1:16" ht="23.25">
      <c r="A8" s="223">
        <v>2028</v>
      </c>
      <c r="B8" s="351">
        <v>1</v>
      </c>
      <c r="C8" s="351">
        <v>1</v>
      </c>
      <c r="D8" s="351">
        <v>1</v>
      </c>
      <c r="E8" s="351">
        <v>1</v>
      </c>
      <c r="F8" s="351">
        <v>1</v>
      </c>
      <c r="G8" s="351">
        <v>1</v>
      </c>
      <c r="H8" s="351">
        <v>1</v>
      </c>
      <c r="I8" s="351">
        <v>1</v>
      </c>
      <c r="J8" s="351">
        <v>1</v>
      </c>
      <c r="K8" s="351">
        <v>1</v>
      </c>
      <c r="L8" s="351">
        <v>1</v>
      </c>
      <c r="M8" s="351">
        <v>1</v>
      </c>
      <c r="N8" s="351">
        <v>1</v>
      </c>
      <c r="O8" s="351">
        <v>1</v>
      </c>
      <c r="P8" s="351">
        <v>1</v>
      </c>
    </row>
    <row r="9" spans="1:16">
      <c r="B9" s="524">
        <f>B2*B3*B4*B5*B7*B8*B6</f>
        <v>1.1752395199610997</v>
      </c>
      <c r="C9" s="524">
        <f t="shared" ref="C9:P9" si="0">C2*C3*C4*C5*C7*C8*C6</f>
        <v>1.1982332156237998</v>
      </c>
      <c r="D9" s="524">
        <f t="shared" si="0"/>
        <v>1.2051446011113662</v>
      </c>
      <c r="E9" s="524">
        <f t="shared" si="0"/>
        <v>1.152251281584</v>
      </c>
      <c r="F9" s="524">
        <f t="shared" si="0"/>
        <v>1.1748444439680001</v>
      </c>
      <c r="G9" s="524">
        <f t="shared" si="0"/>
        <v>1.0906339999999999</v>
      </c>
      <c r="H9" s="524">
        <f t="shared" si="0"/>
        <v>1.2099806000906999</v>
      </c>
      <c r="I9" s="524">
        <f t="shared" si="0"/>
        <v>1.0572646020209999</v>
      </c>
      <c r="J9" s="524">
        <f t="shared" si="0"/>
        <v>1.1025795289999998</v>
      </c>
      <c r="K9" s="524">
        <f t="shared" si="0"/>
        <v>1.1134961579999998</v>
      </c>
      <c r="L9" s="524">
        <f t="shared" si="0"/>
        <v>1.1804927345639999</v>
      </c>
      <c r="M9" s="524">
        <f t="shared" si="0"/>
        <v>1.1128325174999998</v>
      </c>
      <c r="N9" s="524">
        <f t="shared" si="0"/>
        <v>1.1752395199610997</v>
      </c>
      <c r="O9" s="524">
        <f t="shared" si="0"/>
        <v>1.0752004999999998</v>
      </c>
      <c r="P9" s="524">
        <f t="shared" si="0"/>
        <v>1.0288999999999999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48</vt:i4>
      </vt:variant>
      <vt:variant>
        <vt:lpstr>Benoemde bereiken</vt:lpstr>
      </vt:variant>
      <vt:variant>
        <vt:i4>2</vt:i4>
      </vt:variant>
    </vt:vector>
  </HeadingPairs>
  <TitlesOfParts>
    <vt:vector size="50" baseType="lpstr">
      <vt:lpstr>Korting</vt:lpstr>
      <vt:lpstr>70</vt:lpstr>
      <vt:lpstr>85&amp;100 (2)</vt:lpstr>
      <vt:lpstr>70 (2)</vt:lpstr>
      <vt:lpstr>85&amp;100</vt:lpstr>
      <vt:lpstr>Zip 85&amp;100 (2)</vt:lpstr>
      <vt:lpstr>Zip 85&amp;100</vt:lpstr>
      <vt:lpstr>Zip 110 (2)</vt:lpstr>
      <vt:lpstr>Zip 110</vt:lpstr>
      <vt:lpstr>Zip Veranda</vt:lpstr>
      <vt:lpstr>Zip 130 (2)</vt:lpstr>
      <vt:lpstr>Zip 130</vt:lpstr>
      <vt:lpstr>Opties &amp; accessories (2)</vt:lpstr>
      <vt:lpstr>Opties &amp; accessories</vt:lpstr>
      <vt:lpstr>Screendoek (2)</vt:lpstr>
      <vt:lpstr>Screendoek</vt:lpstr>
      <vt:lpstr>SunBasic (2)</vt:lpstr>
      <vt:lpstr>SunBasic</vt:lpstr>
      <vt:lpstr>SunCar (2)</vt:lpstr>
      <vt:lpstr>SunCar</vt:lpstr>
      <vt:lpstr>Suneye (2)</vt:lpstr>
      <vt:lpstr>Suneye</vt:lpstr>
      <vt:lpstr>Suneye XL (2)</vt:lpstr>
      <vt:lpstr>Suneye XL</vt:lpstr>
      <vt:lpstr>SunElite 2</vt:lpstr>
      <vt:lpstr>SunElite</vt:lpstr>
      <vt:lpstr>Optie Knik (2)</vt:lpstr>
      <vt:lpstr>Optie Knik</vt:lpstr>
      <vt:lpstr>Zonweringsdoek (2)</vt:lpstr>
      <vt:lpstr>Zonweringsdoek</vt:lpstr>
      <vt:lpstr>RollBasic (2)</vt:lpstr>
      <vt:lpstr>Rolluik S-42</vt:lpstr>
      <vt:lpstr>Rollbasic XS (2)</vt:lpstr>
      <vt:lpstr>Rolluik S-37</vt:lpstr>
      <vt:lpstr>Opties rolluiken (2)</vt:lpstr>
      <vt:lpstr>Opties rolluiken</vt:lpstr>
      <vt:lpstr>Suncube 150 (2)</vt:lpstr>
      <vt:lpstr>Suncube 150</vt:lpstr>
      <vt:lpstr>Sunproject (2)</vt:lpstr>
      <vt:lpstr>Sunproject 100</vt:lpstr>
      <vt:lpstr>Opties Uitval (2)</vt:lpstr>
      <vt:lpstr>Opties Uitval</vt:lpstr>
      <vt:lpstr>SunControl bron</vt:lpstr>
      <vt:lpstr>SunControl 150</vt:lpstr>
      <vt:lpstr>SunControl 165</vt:lpstr>
      <vt:lpstr>Somfy Brel (2)</vt:lpstr>
      <vt:lpstr>Somfy  Brel</vt:lpstr>
      <vt:lpstr>Prijsmutaties</vt:lpstr>
      <vt:lpstr>'70'!Afdrukbereik</vt:lpstr>
      <vt:lpstr>'70 (2)'!Afdrukbereik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Hemko Molenaar | Sunmaster Nederland B.V.</dc:creator>
  <cp:lastModifiedBy>Hemko Molenaar | Sunmaster Nederland B.V.</cp:lastModifiedBy>
  <cp:lastPrinted>2023-02-10T10:16:04Z</cp:lastPrinted>
  <dcterms:created xsi:type="dcterms:W3CDTF">2021-12-17T14:03:22Z</dcterms:created>
  <dcterms:modified xsi:type="dcterms:W3CDTF">2026-04-15T09:51:25Z</dcterms:modified>
  <cp:contentStatus/>
</cp:coreProperties>
</file>